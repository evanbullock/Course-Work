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\Documents\MGTOP 470\"/>
    </mc:Choice>
  </mc:AlternateContent>
  <xr:revisionPtr revIDLastSave="0" documentId="13_ncr:1_{23B74E4E-4B16-4E1C-B142-8AD1DD0322C6}" xr6:coauthVersionLast="45" xr6:coauthVersionMax="45" xr10:uidLastSave="{00000000-0000-0000-0000-000000000000}"/>
  <bookViews>
    <workbookView xWindow="-108" yWindow="-108" windowWidth="23256" windowHeight="12576" xr2:uid="{DD7AF421-ED36-48EB-A3AC-A878F9B636B1}"/>
  </bookViews>
  <sheets>
    <sheet name="Players" sheetId="1" r:id="rId1"/>
    <sheet name="Info" sheetId="4" r:id="rId2"/>
    <sheet name="Scoreboard" sheetId="2" r:id="rId3"/>
  </sheets>
  <definedNames>
    <definedName name="Players">Players!$A$3:$A$27</definedName>
    <definedName name="Players1">Players!$A$3:$I$27</definedName>
    <definedName name="Start1">Players!$A$30</definedName>
    <definedName name="Start2">Players!$A$38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1" i="1" l="1"/>
  <c r="Q31" i="1" s="1"/>
  <c r="H6" i="2"/>
  <c r="C6" i="2"/>
  <c r="V59" i="1"/>
  <c r="P26" i="1" s="1"/>
  <c r="V58" i="1"/>
  <c r="P25" i="1" s="1"/>
  <c r="V57" i="1"/>
  <c r="P24" i="1" s="1"/>
  <c r="V56" i="1"/>
  <c r="P23" i="1" s="1"/>
  <c r="V55" i="1"/>
  <c r="P22" i="1" s="1"/>
  <c r="V53" i="1"/>
  <c r="K26" i="1" s="1"/>
  <c r="V52" i="1"/>
  <c r="K25" i="1" s="1"/>
  <c r="V51" i="1"/>
  <c r="K24" i="1" s="1"/>
  <c r="V50" i="1"/>
  <c r="K23" i="1" s="1"/>
  <c r="V49" i="1"/>
  <c r="K22" i="1" s="1"/>
  <c r="AH44" i="1"/>
  <c r="AG44" i="1"/>
  <c r="AK44" i="1" s="1"/>
  <c r="X44" i="1"/>
  <c r="W44" i="1"/>
  <c r="AB44" i="1" s="1"/>
  <c r="AC44" i="1" s="1"/>
  <c r="N44" i="1"/>
  <c r="M44" i="1"/>
  <c r="Q44" i="1" s="1"/>
  <c r="L44" i="1"/>
  <c r="Y44" i="1" s="1"/>
  <c r="K44" i="1"/>
  <c r="J44" i="1"/>
  <c r="AH43" i="1"/>
  <c r="AG43" i="1"/>
  <c r="AL43" i="1" s="1"/>
  <c r="X43" i="1"/>
  <c r="W43" i="1"/>
  <c r="AB43" i="1" s="1"/>
  <c r="N43" i="1"/>
  <c r="M43" i="1"/>
  <c r="R43" i="1" s="1"/>
  <c r="L43" i="1"/>
  <c r="Y43" i="1" s="1"/>
  <c r="K43" i="1"/>
  <c r="Z43" i="1" s="1"/>
  <c r="J43" i="1"/>
  <c r="AH42" i="1"/>
  <c r="AG42" i="1"/>
  <c r="AL42" i="1" s="1"/>
  <c r="AM42" i="1" s="1"/>
  <c r="X42" i="1"/>
  <c r="W42" i="1"/>
  <c r="AA42" i="1" s="1"/>
  <c r="N42" i="1"/>
  <c r="M42" i="1"/>
  <c r="R42" i="1" s="1"/>
  <c r="S42" i="1" s="1"/>
  <c r="L42" i="1"/>
  <c r="K42" i="1"/>
  <c r="Z42" i="1" s="1"/>
  <c r="J42" i="1"/>
  <c r="AH41" i="1"/>
  <c r="AG41" i="1"/>
  <c r="AL41" i="1" s="1"/>
  <c r="X41" i="1"/>
  <c r="W41" i="1"/>
  <c r="AB41" i="1" s="1"/>
  <c r="N41" i="1"/>
  <c r="M41" i="1"/>
  <c r="R41" i="1" s="1"/>
  <c r="L41" i="1"/>
  <c r="AI41" i="1" s="1"/>
  <c r="K41" i="1"/>
  <c r="AJ41" i="1" s="1"/>
  <c r="J41" i="1"/>
  <c r="AH40" i="1"/>
  <c r="AG40" i="1"/>
  <c r="AK40" i="1" s="1"/>
  <c r="X40" i="1"/>
  <c r="W40" i="1"/>
  <c r="AB40" i="1" s="1"/>
  <c r="N40" i="1"/>
  <c r="M40" i="1"/>
  <c r="Q40" i="1" s="1"/>
  <c r="L40" i="1"/>
  <c r="K40" i="1"/>
  <c r="J40" i="1"/>
  <c r="AH35" i="1"/>
  <c r="AG35" i="1"/>
  <c r="AK35" i="1" s="1"/>
  <c r="X35" i="1"/>
  <c r="W35" i="1"/>
  <c r="AB35" i="1" s="1"/>
  <c r="AC35" i="1" s="1"/>
  <c r="AD35" i="1" s="1"/>
  <c r="N35" i="1"/>
  <c r="M35" i="1"/>
  <c r="Q35" i="1" s="1"/>
  <c r="L35" i="1"/>
  <c r="AI35" i="1" s="1"/>
  <c r="K35" i="1"/>
  <c r="AJ35" i="1" s="1"/>
  <c r="J35" i="1"/>
  <c r="AH34" i="1"/>
  <c r="AG34" i="1"/>
  <c r="AK34" i="1" s="1"/>
  <c r="X34" i="1"/>
  <c r="W34" i="1"/>
  <c r="AB34" i="1" s="1"/>
  <c r="AC34" i="1" s="1"/>
  <c r="N34" i="1"/>
  <c r="M34" i="1"/>
  <c r="Q34" i="1" s="1"/>
  <c r="L34" i="1"/>
  <c r="Y34" i="1" s="1"/>
  <c r="K34" i="1"/>
  <c r="Z34" i="1" s="1"/>
  <c r="J34" i="1"/>
  <c r="AH33" i="1"/>
  <c r="AG33" i="1"/>
  <c r="AL33" i="1" s="1"/>
  <c r="AM33" i="1" s="1"/>
  <c r="AN33" i="1" s="1"/>
  <c r="X33" i="1"/>
  <c r="W33" i="1"/>
  <c r="AA33" i="1" s="1"/>
  <c r="N33" i="1"/>
  <c r="M33" i="1"/>
  <c r="R33" i="1" s="1"/>
  <c r="S33" i="1" s="1"/>
  <c r="T33" i="1" s="1"/>
  <c r="L33" i="1"/>
  <c r="Y33" i="1" s="1"/>
  <c r="K33" i="1"/>
  <c r="Z33" i="1" s="1"/>
  <c r="J33" i="1"/>
  <c r="AH32" i="1"/>
  <c r="AG32" i="1"/>
  <c r="AL32" i="1" s="1"/>
  <c r="AM32" i="1" s="1"/>
  <c r="X32" i="1"/>
  <c r="W32" i="1"/>
  <c r="AA32" i="1" s="1"/>
  <c r="N32" i="1"/>
  <c r="M32" i="1"/>
  <c r="R32" i="1" s="1"/>
  <c r="S32" i="1" s="1"/>
  <c r="L32" i="1"/>
  <c r="K32" i="1"/>
  <c r="Z32" i="1" s="1"/>
  <c r="J32" i="1"/>
  <c r="AH31" i="1"/>
  <c r="AG31" i="1"/>
  <c r="AK31" i="1" s="1"/>
  <c r="X31" i="1"/>
  <c r="W31" i="1"/>
  <c r="AB31" i="1" s="1"/>
  <c r="N31" i="1"/>
  <c r="L31" i="1"/>
  <c r="AI31" i="1" s="1"/>
  <c r="K31" i="1"/>
  <c r="J31" i="1"/>
  <c r="O31" i="1" l="1"/>
  <c r="AA31" i="1"/>
  <c r="R31" i="1"/>
  <c r="L45" i="1"/>
  <c r="J45" i="1"/>
  <c r="Y41" i="1"/>
  <c r="K36" i="1"/>
  <c r="O43" i="1"/>
  <c r="O44" i="1"/>
  <c r="O34" i="1"/>
  <c r="AI34" i="1"/>
  <c r="Y35" i="1"/>
  <c r="J36" i="1"/>
  <c r="AI40" i="1"/>
  <c r="AI44" i="1"/>
  <c r="O41" i="1"/>
  <c r="Z41" i="1"/>
  <c r="P42" i="1"/>
  <c r="AI43" i="1"/>
  <c r="O40" i="1"/>
  <c r="AJ42" i="1"/>
  <c r="AJ32" i="1"/>
  <c r="Z35" i="1"/>
  <c r="AI33" i="1"/>
  <c r="L36" i="1"/>
  <c r="Z31" i="1"/>
  <c r="P32" i="1"/>
  <c r="Y31" i="1"/>
  <c r="O33" i="1"/>
  <c r="AA44" i="1"/>
  <c r="AL44" i="1"/>
  <c r="AM44" i="1" s="1"/>
  <c r="AN44" i="1" s="1"/>
  <c r="AK32" i="1"/>
  <c r="AL31" i="1"/>
  <c r="AM31" i="1" s="1"/>
  <c r="AN31" i="1" s="1"/>
  <c r="Q42" i="1"/>
  <c r="AB33" i="1"/>
  <c r="AC33" i="1" s="1"/>
  <c r="AD33" i="1" s="1"/>
  <c r="R40" i="1"/>
  <c r="S40" i="1" s="1"/>
  <c r="T40" i="1" s="1"/>
  <c r="R44" i="1"/>
  <c r="S44" i="1" s="1"/>
  <c r="Q32" i="1"/>
  <c r="AA34" i="1"/>
  <c r="AL34" i="1"/>
  <c r="AM34" i="1" s="1"/>
  <c r="AL40" i="1"/>
  <c r="AM40" i="1" s="1"/>
  <c r="AN40" i="1" s="1"/>
  <c r="AL35" i="1"/>
  <c r="AB32" i="1"/>
  <c r="AC32" i="1" s="1"/>
  <c r="R34" i="1"/>
  <c r="S34" i="1" s="1"/>
  <c r="R35" i="1"/>
  <c r="Q41" i="1"/>
  <c r="AB42" i="1"/>
  <c r="AB45" i="1" s="1"/>
  <c r="AK42" i="1"/>
  <c r="S41" i="1"/>
  <c r="T41" i="1" s="1"/>
  <c r="AM41" i="1"/>
  <c r="AN41" i="1" s="1"/>
  <c r="AC43" i="1"/>
  <c r="AD43" i="1" s="1"/>
  <c r="AC40" i="1"/>
  <c r="AD40" i="1" s="1"/>
  <c r="AI42" i="1"/>
  <c r="O42" i="1"/>
  <c r="T42" i="1"/>
  <c r="Y42" i="1"/>
  <c r="K45" i="1"/>
  <c r="AJ40" i="1"/>
  <c r="P40" i="1"/>
  <c r="AI32" i="1"/>
  <c r="O32" i="1"/>
  <c r="AN42" i="1"/>
  <c r="P43" i="1"/>
  <c r="AJ43" i="1"/>
  <c r="AJ44" i="1"/>
  <c r="P44" i="1"/>
  <c r="AD44" i="1"/>
  <c r="T32" i="1"/>
  <c r="Y32" i="1"/>
  <c r="P33" i="1"/>
  <c r="AJ33" i="1"/>
  <c r="AJ34" i="1"/>
  <c r="P34" i="1"/>
  <c r="Z40" i="1"/>
  <c r="AC41" i="1"/>
  <c r="AD41" i="1" s="1"/>
  <c r="AK41" i="1"/>
  <c r="S43" i="1"/>
  <c r="T43" i="1" s="1"/>
  <c r="AA43" i="1"/>
  <c r="AM43" i="1"/>
  <c r="AN43" i="1" s="1"/>
  <c r="AN32" i="1"/>
  <c r="AD34" i="1"/>
  <c r="AC31" i="1"/>
  <c r="AD31" i="1" s="1"/>
  <c r="AA40" i="1"/>
  <c r="Z44" i="1"/>
  <c r="Q33" i="1"/>
  <c r="AK33" i="1"/>
  <c r="O35" i="1"/>
  <c r="AA35" i="1"/>
  <c r="AA41" i="1"/>
  <c r="Q43" i="1"/>
  <c r="AK43" i="1"/>
  <c r="P31" i="1"/>
  <c r="AJ31" i="1"/>
  <c r="P35" i="1"/>
  <c r="Y40" i="1"/>
  <c r="P41" i="1"/>
  <c r="S31" i="1" l="1"/>
  <c r="T31" i="1" s="1"/>
  <c r="AK45" i="1"/>
  <c r="AO35" i="1" s="1"/>
  <c r="AL45" i="1"/>
  <c r="AP43" i="1" s="1"/>
  <c r="AK36" i="1"/>
  <c r="AO44" i="1" s="1"/>
  <c r="AB36" i="1"/>
  <c r="AF44" i="1" s="1"/>
  <c r="AC42" i="1"/>
  <c r="AD42" i="1" s="1"/>
  <c r="AD45" i="1" s="1"/>
  <c r="Q54" i="1" s="1"/>
  <c r="AD32" i="1"/>
  <c r="AD36" i="1" s="1"/>
  <c r="Q53" i="1" s="1"/>
  <c r="Q36" i="1"/>
  <c r="U40" i="1" s="1"/>
  <c r="AN34" i="1"/>
  <c r="AL36" i="1"/>
  <c r="AP35" i="1" s="1"/>
  <c r="T44" i="1"/>
  <c r="T45" i="1" s="1"/>
  <c r="Q50" i="1" s="1"/>
  <c r="R45" i="1"/>
  <c r="V41" i="1" s="1"/>
  <c r="AM35" i="1"/>
  <c r="AN35" i="1" s="1"/>
  <c r="Q45" i="1"/>
  <c r="S35" i="1"/>
  <c r="T35" i="1" s="1"/>
  <c r="T34" i="1"/>
  <c r="AA36" i="1"/>
  <c r="AN45" i="1"/>
  <c r="Q58" i="1" s="1"/>
  <c r="AA45" i="1"/>
  <c r="R36" i="1"/>
  <c r="V31" i="1" s="1"/>
  <c r="U33" i="1" l="1"/>
  <c r="U31" i="1"/>
  <c r="AN36" i="1"/>
  <c r="Q57" i="1" s="1"/>
  <c r="AO31" i="1"/>
  <c r="AO32" i="1"/>
  <c r="AO33" i="1"/>
  <c r="AO34" i="1"/>
  <c r="AF41" i="1"/>
  <c r="AP41" i="1"/>
  <c r="AO40" i="1"/>
  <c r="AP40" i="1"/>
  <c r="AP42" i="1"/>
  <c r="AP44" i="1"/>
  <c r="AO42" i="1"/>
  <c r="AF32" i="1"/>
  <c r="AO43" i="1"/>
  <c r="AF35" i="1"/>
  <c r="AF33" i="1"/>
  <c r="AO41" i="1"/>
  <c r="AF31" i="1"/>
  <c r="AF34" i="1"/>
  <c r="AP33" i="1"/>
  <c r="AF42" i="1"/>
  <c r="AF40" i="1"/>
  <c r="AP34" i="1"/>
  <c r="AP31" i="1"/>
  <c r="AF43" i="1"/>
  <c r="U41" i="1"/>
  <c r="U44" i="1"/>
  <c r="V44" i="1"/>
  <c r="V40" i="1"/>
  <c r="U42" i="1"/>
  <c r="V43" i="1"/>
  <c r="U43" i="1"/>
  <c r="U35" i="1"/>
  <c r="V42" i="1"/>
  <c r="U34" i="1"/>
  <c r="AP32" i="1"/>
  <c r="U32" i="1"/>
  <c r="T36" i="1"/>
  <c r="AE32" i="1"/>
  <c r="AE35" i="1"/>
  <c r="AE31" i="1"/>
  <c r="AE34" i="1"/>
  <c r="AE33" i="1"/>
  <c r="V33" i="1"/>
  <c r="V32" i="1"/>
  <c r="V35" i="1"/>
  <c r="V34" i="1"/>
  <c r="AE42" i="1"/>
  <c r="AE41" i="1"/>
  <c r="AE44" i="1"/>
  <c r="AE40" i="1"/>
  <c r="AE43" i="1"/>
  <c r="Q49" i="1" l="1"/>
  <c r="T50" i="1" s="1"/>
  <c r="AO36" i="1"/>
  <c r="U45" i="1"/>
  <c r="AF45" i="1"/>
  <c r="AE45" i="1"/>
  <c r="V45" i="1"/>
  <c r="AP45" i="1"/>
  <c r="AO45" i="1"/>
  <c r="AE36" i="1"/>
  <c r="AF36" i="1"/>
  <c r="U36" i="1"/>
  <c r="V36" i="1"/>
  <c r="AP36" i="1"/>
  <c r="T49" i="1" l="1"/>
  <c r="T51" i="1"/>
  <c r="Y52" i="1" s="1"/>
  <c r="N25" i="1" s="1"/>
  <c r="H11" i="2"/>
  <c r="H12" i="2"/>
  <c r="H13" i="2"/>
  <c r="H14" i="2"/>
  <c r="H10" i="2"/>
  <c r="C11" i="2"/>
  <c r="C12" i="2"/>
  <c r="C13" i="2"/>
  <c r="C14" i="2"/>
  <c r="C10" i="2"/>
  <c r="X56" i="1" l="1"/>
  <c r="R23" i="1" s="1"/>
  <c r="W49" i="1"/>
  <c r="X57" i="1"/>
  <c r="R24" i="1" s="1"/>
  <c r="Y51" i="1"/>
  <c r="N24" i="1" s="1"/>
  <c r="Y55" i="1"/>
  <c r="S22" i="1" s="1"/>
  <c r="X50" i="1"/>
  <c r="M23" i="1" s="1"/>
  <c r="W57" i="1"/>
  <c r="Q24" i="1" s="1"/>
  <c r="X59" i="1"/>
  <c r="R26" i="1" s="1"/>
  <c r="X55" i="1"/>
  <c r="R22" i="1" s="1"/>
  <c r="Y56" i="1"/>
  <c r="S23" i="1" s="1"/>
  <c r="Y53" i="1"/>
  <c r="N26" i="1" s="1"/>
  <c r="W52" i="1"/>
  <c r="L25" i="1" s="1"/>
  <c r="W50" i="1"/>
  <c r="L23" i="1" s="1"/>
  <c r="W53" i="1"/>
  <c r="L26" i="1" s="1"/>
  <c r="Y59" i="1"/>
  <c r="S26" i="1" s="1"/>
  <c r="X52" i="1"/>
  <c r="M25" i="1" s="1"/>
  <c r="Y58" i="1"/>
  <c r="S25" i="1" s="1"/>
  <c r="X58" i="1"/>
  <c r="R25" i="1" s="1"/>
  <c r="Y49" i="1"/>
  <c r="N22" i="1" s="1"/>
  <c r="Y57" i="1"/>
  <c r="S24" i="1" s="1"/>
  <c r="W55" i="1"/>
  <c r="Q22" i="1" s="1"/>
  <c r="L22" i="1"/>
  <c r="X53" i="1"/>
  <c r="M26" i="1" s="1"/>
  <c r="W59" i="1"/>
  <c r="Q26" i="1" s="1"/>
  <c r="X51" i="1"/>
  <c r="M24" i="1" s="1"/>
  <c r="W56" i="1"/>
  <c r="Q23" i="1" s="1"/>
  <c r="Y50" i="1"/>
  <c r="N23" i="1" s="1"/>
  <c r="X49" i="1"/>
  <c r="M22" i="1" s="1"/>
  <c r="W51" i="1"/>
  <c r="L24" i="1" s="1"/>
  <c r="W58" i="1"/>
  <c r="Q25" i="1" s="1"/>
  <c r="I9" i="1"/>
  <c r="I7" i="1"/>
  <c r="I12" i="1"/>
  <c r="I11" i="1"/>
  <c r="I24" i="1"/>
  <c r="I6" i="1"/>
  <c r="I19" i="1"/>
  <c r="I25" i="1"/>
  <c r="I23" i="1"/>
  <c r="I17" i="1"/>
  <c r="I8" i="1"/>
  <c r="I4" i="1"/>
  <c r="I16" i="1"/>
  <c r="I15" i="1"/>
  <c r="I18" i="1"/>
  <c r="I5" i="1"/>
  <c r="I26" i="1"/>
  <c r="I13" i="1"/>
  <c r="I14" i="1"/>
  <c r="I20" i="1"/>
  <c r="I27" i="1"/>
  <c r="I22" i="1"/>
  <c r="I21" i="1"/>
  <c r="I10" i="1"/>
  <c r="I3" i="1"/>
  <c r="D14" i="2" l="1"/>
  <c r="I11" i="2"/>
  <c r="I10" i="2"/>
  <c r="I14" i="2"/>
  <c r="D13" i="2" l="1"/>
  <c r="K11" i="2"/>
  <c r="I13" i="2"/>
  <c r="I12" i="2"/>
  <c r="D11" i="2"/>
  <c r="F10" i="2" l="1"/>
  <c r="F11" i="2"/>
  <c r="F12" i="2"/>
  <c r="F13" i="2"/>
  <c r="F14" i="2"/>
  <c r="E10" i="2"/>
  <c r="E11" i="2"/>
  <c r="E14" i="2"/>
  <c r="E12" i="2"/>
  <c r="E13" i="2"/>
  <c r="D12" i="2"/>
  <c r="D10" i="2"/>
  <c r="K10" i="2"/>
  <c r="K13" i="2"/>
  <c r="K14" i="2"/>
  <c r="K12" i="2"/>
  <c r="J10" i="2"/>
  <c r="J11" i="2"/>
  <c r="J12" i="2"/>
  <c r="J13" i="2"/>
  <c r="J14" i="2"/>
  <c r="L18" i="1" l="1"/>
  <c r="D6" i="2" s="1"/>
  <c r="Q18" i="1" l="1"/>
  <c r="I6" i="2" s="1"/>
  <c r="O19" i="1"/>
  <c r="G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Stiger</author>
  </authors>
  <commentList>
    <comment ref="I2" authorId="0" shapeId="0" xr:uid="{521CE700-01CF-46E5-9F6E-0F4E755DC5D2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of shots that were 3 point attempts</t>
        </r>
      </text>
    </comment>
    <comment ref="J30" authorId="0" shapeId="0" xr:uid="{B9D74079-13D9-4097-9DD6-5D3D23952B9C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takes a shot for the possession</t>
        </r>
      </text>
    </comment>
    <comment ref="K30" authorId="0" shapeId="0" xr:uid="{C0E72C7C-1720-48E1-BE1D-B420CFD8247E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assists on the possession</t>
        </r>
      </text>
    </comment>
    <comment ref="L30" authorId="0" shapeId="0" xr:uid="{CDF4C8E7-F19C-45C7-88EB-3D83592C4B57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rebounds a miss</t>
        </r>
      </text>
    </comment>
    <comment ref="M30" authorId="0" shapeId="0" xr:uid="{999073A8-6C1D-45D0-A670-FE029D695176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N30" authorId="0" shapeId="0" xr:uid="{38A2F02E-F8F8-427F-AC3C-F210FFF24249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O30" authorId="0" shapeId="0" xr:uid="{F8C2267A-367C-4F49-AEDB-3496831B3E12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for rebounds</t>
        </r>
      </text>
    </comment>
    <comment ref="P30" authorId="0" shapeId="0" xr:uid="{620206C1-FDAD-484C-AF57-F1E6D7D0CB6F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for assists</t>
        </r>
      </text>
    </comment>
    <comment ref="W30" authorId="0" shapeId="0" xr:uid="{C607D629-510C-4AEA-B455-B828007F1E5B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X30" authorId="0" shapeId="0" xr:uid="{8554870F-B0D3-48A1-90CA-767DD8177AF7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AG30" authorId="0" shapeId="0" xr:uid="{19630E6D-81C0-4D5C-B5A9-9CF1C002F8CE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AH30" authorId="0" shapeId="0" xr:uid="{34AF6966-17A9-41D5-B7A9-352F551D0E55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J39" authorId="0" shapeId="0" xr:uid="{3D5E3768-DD3F-4641-9BC7-EF0439D87228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takes a shot for the possession</t>
        </r>
      </text>
    </comment>
    <comment ref="K39" authorId="0" shapeId="0" xr:uid="{AA1D1D97-0165-474D-8205-15BC84FDAFBE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assists on the possession</t>
        </r>
      </text>
    </comment>
    <comment ref="L39" authorId="0" shapeId="0" xr:uid="{F2D901D1-5213-4128-8D3A-D13802BA869A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% Chance player rebounds a miss</t>
        </r>
      </text>
    </comment>
    <comment ref="M39" authorId="0" shapeId="0" xr:uid="{9BEBFB90-F926-4B46-9080-0FD5070F2563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N39" authorId="0" shapeId="0" xr:uid="{CA8EA988-1AFD-487D-92B9-7FFE7BEB6C73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W39" authorId="0" shapeId="0" xr:uid="{B3C7094C-169F-42AA-8044-B5E1D56D0AB3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X39" authorId="0" shapeId="0" xr:uid="{08231949-138C-4C07-BCBC-AF142FA68FF5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AG39" authorId="0" shapeId="0" xr:uid="{FAB9F0B1-0BEF-495B-B788-418726A67B56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FG%</t>
        </r>
      </text>
    </comment>
    <comment ref="AH39" authorId="0" shapeId="0" xr:uid="{65CCDFAD-A21B-4563-8356-5806C8EDBB1C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Normal distribution of 3P%</t>
        </r>
      </text>
    </comment>
    <comment ref="A55" authorId="0" shapeId="0" xr:uid="{D2738A0E-DA7A-4DF8-9F7C-0EA4648925A4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Raise for more scoring</t>
        </r>
      </text>
    </comment>
    <comment ref="A57" authorId="0" shapeId="0" xr:uid="{4569E75D-B01A-4670-B0C1-AB3266E61E5F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How often shots are assisted</t>
        </r>
      </text>
    </comment>
    <comment ref="A58" authorId="0" shapeId="0" xr:uid="{FBFE9B7D-9A3C-4720-8D8A-9EC9EE314908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Overtime Stadnard deviation slightly higher than regulation. Players get tired/star players take over 
</t>
        </r>
      </text>
    </comment>
    <comment ref="A60" authorId="0" shapeId="0" xr:uid="{65F9907A-FAF4-4BEA-A511-2E020A185A98}">
      <text>
        <r>
          <rPr>
            <b/>
            <sz val="9"/>
            <color indexed="81"/>
            <rFont val="Tahoma"/>
            <family val="2"/>
          </rPr>
          <t>Matthew Stiger:</t>
        </r>
        <r>
          <rPr>
            <sz val="9"/>
            <color indexed="81"/>
            <rFont val="Tahoma"/>
            <family val="2"/>
          </rPr>
          <t xml:space="preserve">
Value that overtime stats will be multiplied by because OT is shorter. About 10% in real life, but resulted in lots of ties and numbers were slightly low</t>
        </r>
      </text>
    </comment>
  </commentList>
</comments>
</file>

<file path=xl/sharedStrings.xml><?xml version="1.0" encoding="utf-8"?>
<sst xmlns="http://schemas.openxmlformats.org/spreadsheetml/2006/main" count="219" uniqueCount="114">
  <si>
    <t>Player</t>
  </si>
  <si>
    <t>PPG</t>
  </si>
  <si>
    <t>APG</t>
  </si>
  <si>
    <t>RPG</t>
  </si>
  <si>
    <t>Anthony Davis</t>
  </si>
  <si>
    <t>James Harden</t>
  </si>
  <si>
    <t>Kawhi Leonard</t>
  </si>
  <si>
    <t>Luka Doncic</t>
  </si>
  <si>
    <t>Lebron James</t>
  </si>
  <si>
    <t>Devon Booker</t>
  </si>
  <si>
    <t>Chris Paul</t>
  </si>
  <si>
    <t>Damian Lillard</t>
  </si>
  <si>
    <t>Nikola Jokic</t>
  </si>
  <si>
    <t>Ben Simmons</t>
  </si>
  <si>
    <t>Domantas Sabonis</t>
  </si>
  <si>
    <t>Jaysom Tatum</t>
  </si>
  <si>
    <t>Russell Westbrook</t>
  </si>
  <si>
    <t>Giannis Antetokounmpo</t>
  </si>
  <si>
    <t>Joel Embiid</t>
  </si>
  <si>
    <t>Pascal Siakam</t>
  </si>
  <si>
    <t>Kemba Walker</t>
  </si>
  <si>
    <t>Trae Young</t>
  </si>
  <si>
    <t>Ben Adebayo</t>
  </si>
  <si>
    <t>Brandon Ingram</t>
  </si>
  <si>
    <t>Donovan Mitchel</t>
  </si>
  <si>
    <t>Jimmy Butler</t>
  </si>
  <si>
    <t>Rudy Gobert</t>
  </si>
  <si>
    <t>Kyle Lowry</t>
  </si>
  <si>
    <t>Khris Middleton</t>
  </si>
  <si>
    <t>Player Pool</t>
  </si>
  <si>
    <t>Team 1</t>
  </si>
  <si>
    <t>Team 1, Team Name:</t>
  </si>
  <si>
    <t>Team 2, Team Name:</t>
  </si>
  <si>
    <t>Game Settings</t>
  </si>
  <si>
    <t>Quarters</t>
  </si>
  <si>
    <t>Quarter Length</t>
  </si>
  <si>
    <t>FG%</t>
  </si>
  <si>
    <t>3P%</t>
  </si>
  <si>
    <t>FGA</t>
  </si>
  <si>
    <t>3PA</t>
  </si>
  <si>
    <t>3PRate</t>
  </si>
  <si>
    <t>Shot%</t>
  </si>
  <si>
    <t>Rebound%</t>
  </si>
  <si>
    <t>Assist%</t>
  </si>
  <si>
    <t>Overtime Length</t>
  </si>
  <si>
    <t>adj_FG%</t>
  </si>
  <si>
    <t>FG% Stdev</t>
  </si>
  <si>
    <t>adj_3P%</t>
  </si>
  <si>
    <t>3P% Stdev</t>
  </si>
  <si>
    <t>Final Score</t>
  </si>
  <si>
    <t>Team 2</t>
  </si>
  <si>
    <t>OT</t>
  </si>
  <si>
    <t>OT%</t>
  </si>
  <si>
    <t>FG% Boost</t>
  </si>
  <si>
    <t>3Pt% Boost</t>
  </si>
  <si>
    <t>Pts</t>
  </si>
  <si>
    <t>Reb</t>
  </si>
  <si>
    <t>Ast</t>
  </si>
  <si>
    <t>Assist Rate</t>
  </si>
  <si>
    <t>3PTM</t>
  </si>
  <si>
    <t>FGMiss</t>
  </si>
  <si>
    <t>FGMade</t>
  </si>
  <si>
    <t>OT FG% Stdev</t>
  </si>
  <si>
    <t>Ot 3P% Stdev</t>
  </si>
  <si>
    <t>Regulation Stats</t>
  </si>
  <si>
    <t>Regulation</t>
  </si>
  <si>
    <t>First Overtime Stats</t>
  </si>
  <si>
    <t>Second Overtime Stats</t>
  </si>
  <si>
    <t>2OT</t>
  </si>
  <si>
    <t>Functions included (from project requirements):</t>
  </si>
  <si>
    <t>IF functions</t>
  </si>
  <si>
    <t>Random numbers</t>
  </si>
  <si>
    <t>AND functions</t>
  </si>
  <si>
    <t>Use of color and/or borders</t>
  </si>
  <si>
    <t>Anchoring of cell references</t>
  </si>
  <si>
    <t>Score Calculations</t>
  </si>
  <si>
    <t>Ended in:</t>
  </si>
  <si>
    <t>Points</t>
  </si>
  <si>
    <t>Rebounds</t>
  </si>
  <si>
    <t>Assists</t>
  </si>
  <si>
    <t>Box Score</t>
  </si>
  <si>
    <t>Scoreboard</t>
  </si>
  <si>
    <t>Limitations:</t>
  </si>
  <si>
    <t>No offensive rebounds</t>
  </si>
  <si>
    <t>Nothing past 2 overtimes (ties shouldn't be a problem, rarely goes to 1OT)</t>
  </si>
  <si>
    <t>adj_reb</t>
  </si>
  <si>
    <t>adj_ast</t>
  </si>
  <si>
    <t>Box Score Calculations</t>
  </si>
  <si>
    <t>Reb Stdev</t>
  </si>
  <si>
    <t>Ast Stdev</t>
  </si>
  <si>
    <t>This is our NBA All-Star draft simulation</t>
  </si>
  <si>
    <t>By: Evan Bullock, Matt Stiger, Aila Ikuse</t>
  </si>
  <si>
    <t>MGTOP 470 Final Project Spring 2020</t>
  </si>
  <si>
    <t>How to play:</t>
  </si>
  <si>
    <t>2). Press create teams and draft button</t>
  </si>
  <si>
    <t>2-a). Enter user team names</t>
  </si>
  <si>
    <t>4). Press simulate</t>
  </si>
  <si>
    <t>2-c). Make selections, everything should automatically refresh. The current team selecting is a label above the player pool.</t>
  </si>
  <si>
    <r>
      <t xml:space="preserve">2-b). Draft Process: </t>
    </r>
    <r>
      <rPr>
        <b/>
        <sz val="11"/>
        <color theme="1"/>
        <rFont val="Calibri"/>
        <family val="2"/>
        <scheme val="minor"/>
      </rPr>
      <t xml:space="preserve">PRESS LOAD ONCE </t>
    </r>
    <r>
      <rPr>
        <sz val="11"/>
        <color theme="1"/>
        <rFont val="Calibri"/>
        <family val="2"/>
        <scheme val="minor"/>
      </rPr>
      <t>(first thing)</t>
    </r>
  </si>
  <si>
    <t>3).  Press Enter Pick button</t>
  </si>
  <si>
    <t>No draft timer (unlimited time to select)</t>
  </si>
  <si>
    <t xml:space="preserve">Lots of VBA </t>
  </si>
  <si>
    <t>Macros</t>
  </si>
  <si>
    <t>UserForms</t>
  </si>
  <si>
    <t>1). Make sure you have your macros enabled! Go to the Players Sheet.</t>
  </si>
  <si>
    <t>2 users</t>
  </si>
  <si>
    <t>NBA All-Star Player Data from 2020 NBA All-Star</t>
  </si>
  <si>
    <t>5 players per team</t>
  </si>
  <si>
    <t>25 players to choose from</t>
  </si>
  <si>
    <t>10 total players used</t>
  </si>
  <si>
    <t>alternate team picks</t>
  </si>
  <si>
    <t>records points, rebounds,assists</t>
  </si>
  <si>
    <t>Simulates an actual 4 quarter game , and OT/2OT if needed</t>
  </si>
  <si>
    <t>Simulation Info: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</si>
</sst>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28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</cellStyleXfs>
  <cellXfs count="68">
    <xf numFmtId="0" fontId="0" fillId="0" borderId="0" xfId="0"/>
    <xf numFmtId="0" fontId="2" fillId="2" borderId="0" xfId="1"/>
    <xf numFmtId="0" fontId="0" fillId="0" borderId="1" xfId="0" applyBorder="1"/>
    <xf numFmtId="0" fontId="0" fillId="6" borderId="3" xfId="0" applyFill="1" applyBorder="1"/>
    <xf numFmtId="0" fontId="1" fillId="3" borderId="2" xfId="2" applyBorder="1"/>
    <xf numFmtId="0" fontId="0" fillId="3" borderId="2" xfId="2" applyFont="1" applyBorder="1"/>
    <xf numFmtId="0" fontId="0" fillId="0" borderId="2" xfId="0" applyBorder="1"/>
    <xf numFmtId="0" fontId="0" fillId="0" borderId="2" xfId="0" applyFill="1" applyBorder="1"/>
    <xf numFmtId="164" fontId="0" fillId="0" borderId="2" xfId="0" applyNumberFormat="1" applyBorder="1"/>
    <xf numFmtId="0" fontId="0" fillId="4" borderId="1" xfId="3" applyFont="1" applyBorder="1"/>
    <xf numFmtId="0" fontId="0" fillId="4" borderId="4" xfId="3" applyFont="1" applyBorder="1"/>
    <xf numFmtId="0" fontId="0" fillId="0" borderId="4" xfId="0" applyBorder="1"/>
    <xf numFmtId="0" fontId="5" fillId="0" borderId="0" xfId="0" applyFont="1"/>
    <xf numFmtId="0" fontId="0" fillId="7" borderId="1" xfId="0" applyFill="1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8" borderId="1" xfId="0" applyFill="1" applyBorder="1"/>
    <xf numFmtId="0" fontId="0" fillId="0" borderId="10" xfId="0" applyBorder="1"/>
    <xf numFmtId="0" fontId="1" fillId="9" borderId="1" xfId="5" applyBorder="1"/>
    <xf numFmtId="0" fontId="0" fillId="0" borderId="15" xfId="0" applyBorder="1"/>
    <xf numFmtId="0" fontId="1" fillId="9" borderId="16" xfId="5" applyBorder="1"/>
    <xf numFmtId="0" fontId="1" fillId="9" borderId="17" xfId="5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1" borderId="21" xfId="0" applyFill="1" applyBorder="1"/>
    <xf numFmtId="164" fontId="0" fillId="0" borderId="22" xfId="0" applyNumberFormat="1" applyBorder="1"/>
    <xf numFmtId="0" fontId="1" fillId="3" borderId="23" xfId="2" applyBorder="1"/>
    <xf numFmtId="0" fontId="1" fillId="3" borderId="24" xfId="2" applyBorder="1"/>
    <xf numFmtId="0" fontId="0" fillId="3" borderId="24" xfId="2" applyFont="1" applyBorder="1"/>
    <xf numFmtId="0" fontId="0" fillId="3" borderId="25" xfId="2" applyFont="1" applyBorder="1"/>
    <xf numFmtId="0" fontId="0" fillId="0" borderId="27" xfId="0" applyBorder="1"/>
    <xf numFmtId="0" fontId="0" fillId="0" borderId="27" xfId="0" applyFill="1" applyBorder="1"/>
    <xf numFmtId="164" fontId="0" fillId="0" borderId="28" xfId="0" applyNumberFormat="1" applyBorder="1"/>
    <xf numFmtId="0" fontId="0" fillId="11" borderId="26" xfId="0" applyFill="1" applyBorder="1"/>
    <xf numFmtId="164" fontId="0" fillId="0" borderId="4" xfId="0" applyNumberFormat="1" applyBorder="1"/>
    <xf numFmtId="164" fontId="0" fillId="0" borderId="1" xfId="0" applyNumberFormat="1" applyBorder="1"/>
    <xf numFmtId="0" fontId="0" fillId="4" borderId="7" xfId="3" applyFont="1" applyBorder="1"/>
    <xf numFmtId="0" fontId="5" fillId="3" borderId="16" xfId="2" applyFont="1" applyBorder="1"/>
    <xf numFmtId="0" fontId="1" fillId="3" borderId="1" xfId="2" applyBorder="1"/>
    <xf numFmtId="0" fontId="1" fillId="3" borderId="17" xfId="2" applyBorder="1"/>
    <xf numFmtId="0" fontId="0" fillId="0" borderId="0" xfId="0" applyBorder="1" applyAlignment="1">
      <alignment horizontal="center"/>
    </xf>
    <xf numFmtId="0" fontId="2" fillId="2" borderId="0" xfId="1" applyAlignment="1">
      <alignment horizontal="center"/>
    </xf>
    <xf numFmtId="0" fontId="1" fillId="3" borderId="14" xfId="2" applyBorder="1" applyAlignment="1">
      <alignment horizontal="center"/>
    </xf>
    <xf numFmtId="0" fontId="1" fillId="3" borderId="0" xfId="2" applyBorder="1" applyAlignment="1">
      <alignment horizontal="center"/>
    </xf>
    <xf numFmtId="0" fontId="1" fillId="3" borderId="15" xfId="2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2" borderId="11" xfId="1" applyFont="1" applyBorder="1" applyAlignment="1">
      <alignment horizontal="center" vertical="center"/>
    </xf>
    <xf numFmtId="0" fontId="7" fillId="2" borderId="12" xfId="1" applyFont="1" applyBorder="1" applyAlignment="1">
      <alignment horizontal="center" vertical="center"/>
    </xf>
    <xf numFmtId="0" fontId="7" fillId="2" borderId="13" xfId="1" applyFont="1" applyBorder="1" applyAlignment="1">
      <alignment horizontal="center" vertical="center"/>
    </xf>
    <xf numFmtId="0" fontId="7" fillId="2" borderId="14" xfId="1" applyFont="1" applyBorder="1" applyAlignment="1">
      <alignment horizontal="center" vertical="center"/>
    </xf>
    <xf numFmtId="0" fontId="7" fillId="2" borderId="0" xfId="1" applyFont="1" applyBorder="1" applyAlignment="1">
      <alignment horizontal="center" vertical="center"/>
    </xf>
    <xf numFmtId="0" fontId="7" fillId="2" borderId="15" xfId="1" applyFont="1" applyBorder="1" applyAlignment="1">
      <alignment horizontal="center" vertical="center"/>
    </xf>
    <xf numFmtId="0" fontId="2" fillId="5" borderId="0" xfId="4" applyAlignment="1">
      <alignment horizontal="center"/>
    </xf>
    <xf numFmtId="0" fontId="2" fillId="10" borderId="0" xfId="6" applyAlignment="1">
      <alignment horizontal="center"/>
    </xf>
    <xf numFmtId="0" fontId="2" fillId="2" borderId="11" xfId="1" applyBorder="1" applyAlignment="1">
      <alignment horizontal="center"/>
    </xf>
    <xf numFmtId="0" fontId="2" fillId="2" borderId="12" xfId="1" applyBorder="1" applyAlignment="1">
      <alignment horizontal="center"/>
    </xf>
    <xf numFmtId="0" fontId="2" fillId="2" borderId="13" xfId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20% - Accent1" xfId="5" builtinId="30"/>
    <cellStyle name="40% - Accent1" xfId="2" builtinId="31"/>
    <cellStyle name="40% - Accent2" xfId="3" builtinId="35"/>
    <cellStyle name="Accent1" xfId="1" builtinId="29"/>
    <cellStyle name="Accent2" xfId="6" builtinId="33"/>
    <cellStyle name="Accent6" xfId="4" builtinId="49"/>
    <cellStyle name="Normal" xfId="0" builtinId="0"/>
  </cellStyles>
  <dxfs count="14">
    <dxf>
      <fill>
        <patternFill patternType="solid">
          <fgColor indexed="64"/>
          <bgColor theme="0"/>
        </patternFill>
      </fill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numFmt numFmtId="164" formatCode="0.000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312420</xdr:colOff>
          <xdr:row>12</xdr:row>
          <xdr:rowOff>160020</xdr:rowOff>
        </xdr:from>
        <xdr:to>
          <xdr:col>15</xdr:col>
          <xdr:colOff>251460</xdr:colOff>
          <xdr:row>14</xdr:row>
          <xdr:rowOff>121920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1303020</xdr:colOff>
          <xdr:row>2</xdr:row>
          <xdr:rowOff>144780</xdr:rowOff>
        </xdr:from>
        <xdr:to>
          <xdr:col>16</xdr:col>
          <xdr:colOff>358140</xdr:colOff>
          <xdr:row>11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Teams and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1341120</xdr:colOff>
          <xdr:row>12</xdr:row>
          <xdr:rowOff>152400</xdr:rowOff>
        </xdr:from>
        <xdr:to>
          <xdr:col>17</xdr:col>
          <xdr:colOff>586740</xdr:colOff>
          <xdr:row>14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8</xdr:row>
          <xdr:rowOff>30480</xdr:rowOff>
        </xdr:from>
        <xdr:to>
          <xdr:col>6</xdr:col>
          <xdr:colOff>1623060</xdr:colOff>
          <xdr:row>10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934F0E-24F8-44BD-992A-0957F3B87756}" name="Table1" displayName="Table1" ref="A2:I27" totalsRowShown="0" headerRowDxfId="13" dataDxfId="11" headerRowBorderDxfId="12" tableBorderDxfId="10" totalsRowBorderDxfId="9" headerRowCellStyle="40% - Accent1">
  <autoFilter ref="A2:I27" xr:uid="{5C6FAF6D-DED8-433A-80AF-15C9F5739593}"/>
  <sortState xmlns:xlrd2="http://schemas.microsoft.com/office/spreadsheetml/2017/richdata2" ref="A3:I27">
    <sortCondition descending="1" ref="B2:B27"/>
  </sortState>
  <tableColumns count="9">
    <tableColumn id="1" xr3:uid="{BBCA53E2-EEE9-48A4-96E5-81CB0CD8B8A3}" name="Player" dataDxfId="0"/>
    <tableColumn id="2" xr3:uid="{716E7F96-6D4D-4C7D-AA9F-22F31B6F570B}" name="PPG" dataDxfId="1"/>
    <tableColumn id="3" xr3:uid="{CEBB853E-A5EF-4686-ABC6-9DBB98512D6C}" name="APG" dataDxfId="8"/>
    <tableColumn id="4" xr3:uid="{AFDD6C96-7FFF-492B-8983-A0E40D2DD4A4}" name="RPG" dataDxfId="7"/>
    <tableColumn id="5" xr3:uid="{DD618F06-0528-4910-B693-E84CA7A25A8D}" name="FG%" dataDxfId="6"/>
    <tableColumn id="6" xr3:uid="{E6DD4BC6-DDE0-4FC1-999F-F349701098A2}" name="3P%" dataDxfId="5"/>
    <tableColumn id="7" xr3:uid="{81062648-B531-4D1C-ACBC-575395A5AB69}" name="FGA" dataDxfId="4"/>
    <tableColumn id="8" xr3:uid="{63A42E15-4E2A-4629-8499-C6903219AB58}" name="3PA" dataDxfId="3"/>
    <tableColumn id="9" xr3:uid="{5BE0FE89-3D22-4A67-883E-8A3462E9275C}" name="3PRate" dataDxfId="2">
      <calculatedColumnFormula>H3/G3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DE214-8228-4881-8FD8-98E10E978A17}">
  <sheetPr codeName="Sheet1"/>
  <dimension ref="A1:AP60"/>
  <sheetViews>
    <sheetView tabSelected="1" zoomScale="75" zoomScaleNormal="85" workbookViewId="0">
      <selection activeCell="P18" sqref="P18:P19"/>
    </sheetView>
  </sheetViews>
  <sheetFormatPr defaultRowHeight="14.4" x14ac:dyDescent="0.3"/>
  <cols>
    <col min="1" max="1" width="19.88671875" bestFit="1" customWidth="1"/>
    <col min="2" max="5" width="9" bestFit="1" customWidth="1"/>
    <col min="6" max="6" width="8.88671875" customWidth="1"/>
    <col min="7" max="9" width="9" bestFit="1" customWidth="1"/>
    <col min="10" max="10" width="12" bestFit="1" customWidth="1"/>
    <col min="11" max="11" width="19.5546875" customWidth="1"/>
    <col min="12" max="12" width="9.6640625" bestFit="1" customWidth="1"/>
    <col min="13" max="14" width="9" bestFit="1" customWidth="1"/>
    <col min="16" max="16" width="19.6640625" customWidth="1"/>
    <col min="17" max="17" width="9.6640625" bestFit="1" customWidth="1"/>
    <col min="18" max="19" width="9" bestFit="1" customWidth="1"/>
  </cols>
  <sheetData>
    <row r="1" spans="1:19" x14ac:dyDescent="0.3">
      <c r="A1" s="48" t="s">
        <v>29</v>
      </c>
      <c r="B1" s="48"/>
      <c r="C1" s="48"/>
      <c r="D1" s="48"/>
      <c r="E1" s="48"/>
      <c r="F1" s="48"/>
      <c r="G1" s="48"/>
      <c r="H1" s="48"/>
      <c r="I1" s="48"/>
    </row>
    <row r="2" spans="1:19" ht="15" thickBot="1" x14ac:dyDescent="0.35">
      <c r="A2" s="33" t="s">
        <v>0</v>
      </c>
      <c r="B2" s="34" t="s">
        <v>1</v>
      </c>
      <c r="C2" s="34" t="s">
        <v>2</v>
      </c>
      <c r="D2" s="34" t="s">
        <v>3</v>
      </c>
      <c r="E2" s="35" t="s">
        <v>36</v>
      </c>
      <c r="F2" s="35" t="s">
        <v>37</v>
      </c>
      <c r="G2" s="35" t="s">
        <v>38</v>
      </c>
      <c r="H2" s="35" t="s">
        <v>39</v>
      </c>
      <c r="I2" s="36" t="s">
        <v>40</v>
      </c>
      <c r="K2" s="12"/>
      <c r="O2" s="12"/>
    </row>
    <row r="3" spans="1:19" ht="15.6" thickTop="1" thickBot="1" x14ac:dyDescent="0.35">
      <c r="A3" s="31" t="s">
        <v>5</v>
      </c>
      <c r="B3" s="6">
        <v>35.299999999999997</v>
      </c>
      <c r="C3" s="6">
        <v>7.3</v>
      </c>
      <c r="D3" s="6">
        <v>6.5</v>
      </c>
      <c r="E3" s="7">
        <v>0.435</v>
      </c>
      <c r="F3" s="7">
        <v>0.35199999999999998</v>
      </c>
      <c r="G3" s="7">
        <v>22.7</v>
      </c>
      <c r="H3" s="7">
        <v>12.6</v>
      </c>
      <c r="I3" s="32">
        <f t="shared" ref="I3:I27" si="0">H3/G3</f>
        <v>0.55506607929515417</v>
      </c>
    </row>
    <row r="4" spans="1:19" ht="15.6" thickTop="1" thickBot="1" x14ac:dyDescent="0.35">
      <c r="A4" s="31" t="s">
        <v>17</v>
      </c>
      <c r="B4" s="6">
        <v>30</v>
      </c>
      <c r="C4" s="6">
        <v>5.8</v>
      </c>
      <c r="D4" s="6">
        <v>13.5</v>
      </c>
      <c r="E4" s="7">
        <v>0.54700000000000004</v>
      </c>
      <c r="F4" s="7">
        <v>0.30599999999999999</v>
      </c>
      <c r="G4" s="7">
        <v>20</v>
      </c>
      <c r="H4" s="7">
        <v>4.8</v>
      </c>
      <c r="I4" s="32">
        <f t="shared" si="0"/>
        <v>0.24</v>
      </c>
    </row>
    <row r="5" spans="1:19" ht="15.6" thickTop="1" thickBot="1" x14ac:dyDescent="0.35">
      <c r="A5" s="31" t="s">
        <v>21</v>
      </c>
      <c r="B5" s="6">
        <v>29.7</v>
      </c>
      <c r="C5" s="6">
        <v>9.1999999999999993</v>
      </c>
      <c r="D5" s="6">
        <v>4.4000000000000004</v>
      </c>
      <c r="E5" s="7">
        <v>0.437</v>
      </c>
      <c r="F5" s="7">
        <v>0.36099999999999999</v>
      </c>
      <c r="G5" s="7">
        <v>20.8</v>
      </c>
      <c r="H5" s="7">
        <v>9.5</v>
      </c>
      <c r="I5" s="32">
        <f t="shared" si="0"/>
        <v>0.45673076923076922</v>
      </c>
    </row>
    <row r="6" spans="1:19" ht="15.6" thickTop="1" thickBot="1" x14ac:dyDescent="0.35">
      <c r="A6" s="31" t="s">
        <v>11</v>
      </c>
      <c r="B6" s="6">
        <v>29.5</v>
      </c>
      <c r="C6" s="6">
        <v>7.9</v>
      </c>
      <c r="D6" s="6">
        <v>4.4000000000000004</v>
      </c>
      <c r="E6" s="7">
        <v>0.45700000000000002</v>
      </c>
      <c r="F6" s="7">
        <v>0.39400000000000002</v>
      </c>
      <c r="G6" s="7">
        <v>20</v>
      </c>
      <c r="H6" s="7">
        <v>9.9</v>
      </c>
      <c r="I6" s="32">
        <f t="shared" si="0"/>
        <v>0.495</v>
      </c>
    </row>
    <row r="7" spans="1:19" ht="15.6" thickTop="1" thickBot="1" x14ac:dyDescent="0.35">
      <c r="A7" s="31" t="s">
        <v>7</v>
      </c>
      <c r="B7" s="6">
        <v>28.9</v>
      </c>
      <c r="C7" s="6">
        <v>8.6999999999999993</v>
      </c>
      <c r="D7" s="6">
        <v>9.5</v>
      </c>
      <c r="E7" s="7">
        <v>0.46100000000000002</v>
      </c>
      <c r="F7" s="7">
        <v>0.318</v>
      </c>
      <c r="G7" s="7">
        <v>20.6</v>
      </c>
      <c r="H7" s="7">
        <v>9.1</v>
      </c>
      <c r="I7" s="32">
        <f t="shared" si="0"/>
        <v>0.44174757281553395</v>
      </c>
      <c r="K7" s="12"/>
    </row>
    <row r="8" spans="1:19" ht="15.6" thickTop="1" thickBot="1" x14ac:dyDescent="0.35">
      <c r="A8" s="31" t="s">
        <v>16</v>
      </c>
      <c r="B8" s="6">
        <v>27.2</v>
      </c>
      <c r="C8" s="6">
        <v>7.2</v>
      </c>
      <c r="D8" s="6">
        <v>8</v>
      </c>
      <c r="E8" s="7">
        <v>0.47399999999999998</v>
      </c>
      <c r="F8" s="7">
        <v>0.254</v>
      </c>
      <c r="G8" s="7">
        <v>22.6</v>
      </c>
      <c r="H8" s="7">
        <v>3.8</v>
      </c>
      <c r="I8" s="32">
        <f t="shared" si="0"/>
        <v>0.16814159292035397</v>
      </c>
    </row>
    <row r="9" spans="1:19" ht="15.6" thickTop="1" thickBot="1" x14ac:dyDescent="0.35">
      <c r="A9" s="31" t="s">
        <v>6</v>
      </c>
      <c r="B9" s="6">
        <v>27.1</v>
      </c>
      <c r="C9" s="6">
        <v>5.3</v>
      </c>
      <c r="D9" s="6">
        <v>7.4</v>
      </c>
      <c r="E9" s="7">
        <v>0.46899999999999997</v>
      </c>
      <c r="F9" s="7">
        <v>0.36599999999999999</v>
      </c>
      <c r="G9" s="7">
        <v>19.899999999999999</v>
      </c>
      <c r="H9" s="7">
        <v>5.7</v>
      </c>
      <c r="I9" s="32">
        <f t="shared" si="0"/>
        <v>0.28643216080402012</v>
      </c>
    </row>
    <row r="10" spans="1:19" ht="15.6" thickTop="1" thickBot="1" x14ac:dyDescent="0.35">
      <c r="A10" s="31" t="s">
        <v>4</v>
      </c>
      <c r="B10" s="6">
        <v>26.6</v>
      </c>
      <c r="C10" s="6">
        <v>3.3</v>
      </c>
      <c r="D10" s="6">
        <v>9.1999999999999993</v>
      </c>
      <c r="E10" s="7">
        <v>0.51100000000000001</v>
      </c>
      <c r="F10" s="7">
        <v>0.33500000000000002</v>
      </c>
      <c r="G10" s="7">
        <v>18.100000000000001</v>
      </c>
      <c r="H10" s="7">
        <v>3.5</v>
      </c>
      <c r="I10" s="32">
        <f t="shared" si="0"/>
        <v>0.19337016574585633</v>
      </c>
    </row>
    <row r="11" spans="1:19" ht="15.6" thickTop="1" thickBot="1" x14ac:dyDescent="0.35">
      <c r="A11" s="31" t="s">
        <v>9</v>
      </c>
      <c r="B11" s="6">
        <v>26.4</v>
      </c>
      <c r="C11" s="6">
        <v>6.3</v>
      </c>
      <c r="D11" s="6">
        <v>4.2</v>
      </c>
      <c r="E11" s="7">
        <v>0.48699999999999999</v>
      </c>
      <c r="F11" s="7">
        <v>0.36</v>
      </c>
      <c r="G11" s="7">
        <v>18</v>
      </c>
      <c r="H11" s="7">
        <v>5.6</v>
      </c>
      <c r="I11" s="32">
        <f t="shared" si="0"/>
        <v>0.31111111111111112</v>
      </c>
    </row>
    <row r="12" spans="1:19" ht="15.6" thickTop="1" thickBot="1" x14ac:dyDescent="0.35">
      <c r="A12" s="31" t="s">
        <v>8</v>
      </c>
      <c r="B12" s="6">
        <v>25</v>
      </c>
      <c r="C12" s="6">
        <v>10.8</v>
      </c>
      <c r="D12" s="6">
        <v>7.8</v>
      </c>
      <c r="E12" s="7">
        <v>0.498</v>
      </c>
      <c r="F12" s="7">
        <v>0.34899999999999998</v>
      </c>
      <c r="G12" s="7">
        <v>19.600000000000001</v>
      </c>
      <c r="H12" s="7">
        <v>6.3</v>
      </c>
      <c r="I12" s="32">
        <f t="shared" si="0"/>
        <v>0.3214285714285714</v>
      </c>
    </row>
    <row r="13" spans="1:19" ht="15.6" thickTop="1" thickBot="1" x14ac:dyDescent="0.35">
      <c r="A13" s="31" t="s">
        <v>23</v>
      </c>
      <c r="B13" s="6">
        <v>24.9</v>
      </c>
      <c r="C13" s="6">
        <v>4.2</v>
      </c>
      <c r="D13" s="6">
        <v>6.4</v>
      </c>
      <c r="E13" s="7">
        <v>0.46600000000000003</v>
      </c>
      <c r="F13" s="7">
        <v>0.38700000000000001</v>
      </c>
      <c r="G13" s="7">
        <v>18</v>
      </c>
      <c r="H13" s="7">
        <v>6.3</v>
      </c>
      <c r="I13" s="32">
        <f t="shared" si="0"/>
        <v>0.35</v>
      </c>
    </row>
    <row r="14" spans="1:19" ht="15.6" thickTop="1" thickBot="1" x14ac:dyDescent="0.35">
      <c r="A14" s="31" t="s">
        <v>24</v>
      </c>
      <c r="B14" s="6">
        <v>24.3</v>
      </c>
      <c r="C14" s="6">
        <v>4.3</v>
      </c>
      <c r="D14" s="6">
        <v>4.3</v>
      </c>
      <c r="E14" s="7">
        <v>0.45300000000000001</v>
      </c>
      <c r="F14" s="7">
        <v>0.36399999999999999</v>
      </c>
      <c r="G14" s="7">
        <v>19.600000000000001</v>
      </c>
      <c r="H14" s="7">
        <v>4.5999999999999996</v>
      </c>
      <c r="I14" s="32">
        <f t="shared" si="0"/>
        <v>0.23469387755102036</v>
      </c>
    </row>
    <row r="15" spans="1:19" ht="15.6" thickTop="1" thickBot="1" x14ac:dyDescent="0.35">
      <c r="A15" s="31" t="s">
        <v>19</v>
      </c>
      <c r="B15" s="6">
        <v>23.5</v>
      </c>
      <c r="C15" s="6">
        <v>3.5</v>
      </c>
      <c r="D15" s="6">
        <v>7.5</v>
      </c>
      <c r="E15" s="7">
        <v>0.45900000000000002</v>
      </c>
      <c r="F15" s="7">
        <v>0.35899999999999999</v>
      </c>
      <c r="G15" s="7">
        <v>18.899999999999999</v>
      </c>
      <c r="H15" s="7">
        <v>6</v>
      </c>
      <c r="I15" s="32">
        <f t="shared" si="0"/>
        <v>0.3174603174603175</v>
      </c>
    </row>
    <row r="16" spans="1:19" ht="15.6" thickTop="1" thickBot="1" x14ac:dyDescent="0.35">
      <c r="A16" s="31" t="s">
        <v>18</v>
      </c>
      <c r="B16" s="6">
        <v>22.9</v>
      </c>
      <c r="C16" s="6">
        <v>3.2</v>
      </c>
      <c r="D16" s="6">
        <v>11.9</v>
      </c>
      <c r="E16" s="7">
        <v>0.47399999999999998</v>
      </c>
      <c r="F16" s="7">
        <v>0.34799999999999998</v>
      </c>
      <c r="G16" s="7">
        <v>15.9</v>
      </c>
      <c r="H16" s="7">
        <v>3.7</v>
      </c>
      <c r="I16" s="32">
        <f t="shared" si="0"/>
        <v>0.23270440251572327</v>
      </c>
      <c r="K16" s="54" t="s">
        <v>81</v>
      </c>
      <c r="L16" s="55"/>
      <c r="M16" s="55"/>
      <c r="N16" s="55"/>
      <c r="O16" s="55"/>
      <c r="P16" s="55"/>
      <c r="Q16" s="55"/>
      <c r="R16" s="55"/>
      <c r="S16" s="56"/>
    </row>
    <row r="17" spans="1:42" ht="15.6" thickTop="1" thickBot="1" x14ac:dyDescent="0.35">
      <c r="A17" s="31" t="s">
        <v>15</v>
      </c>
      <c r="B17" s="6">
        <v>22.1</v>
      </c>
      <c r="C17" s="6">
        <v>3</v>
      </c>
      <c r="D17" s="6">
        <v>6.9</v>
      </c>
      <c r="E17" s="7">
        <v>0.44800000000000001</v>
      </c>
      <c r="F17" s="7">
        <v>0.39800000000000002</v>
      </c>
      <c r="G17" s="7">
        <v>18.899999999999999</v>
      </c>
      <c r="H17" s="7">
        <v>7.1</v>
      </c>
      <c r="I17" s="32">
        <f t="shared" si="0"/>
        <v>0.3756613756613757</v>
      </c>
      <c r="K17" s="57"/>
      <c r="L17" s="58"/>
      <c r="M17" s="58"/>
      <c r="N17" s="58"/>
      <c r="O17" s="58"/>
      <c r="P17" s="58"/>
      <c r="Q17" s="58"/>
      <c r="R17" s="58"/>
      <c r="S17" s="59"/>
    </row>
    <row r="18" spans="1:42" ht="15.6" thickTop="1" thickBot="1" x14ac:dyDescent="0.35">
      <c r="A18" s="31" t="s">
        <v>20</v>
      </c>
      <c r="B18" s="6">
        <v>21.8</v>
      </c>
      <c r="C18" s="6">
        <v>5</v>
      </c>
      <c r="D18" s="6">
        <v>4</v>
      </c>
      <c r="E18" s="7">
        <v>0.42099999999999999</v>
      </c>
      <c r="F18" s="7">
        <v>0.377</v>
      </c>
      <c r="G18" s="7">
        <v>16.600000000000001</v>
      </c>
      <c r="H18" s="7">
        <v>8.8000000000000007</v>
      </c>
      <c r="I18" s="32">
        <f t="shared" si="0"/>
        <v>0.53012048192771088</v>
      </c>
      <c r="K18" s="52"/>
      <c r="L18" s="53" t="b">
        <f ca="1">T49</f>
        <v>0</v>
      </c>
      <c r="M18" s="16"/>
      <c r="N18" s="16"/>
      <c r="O18" s="16"/>
      <c r="P18" s="53"/>
      <c r="Q18" s="53" t="b">
        <f ca="1">T50</f>
        <v>0</v>
      </c>
      <c r="R18" s="16"/>
      <c r="S18" s="23"/>
    </row>
    <row r="19" spans="1:42" ht="15.6" thickTop="1" thickBot="1" x14ac:dyDescent="0.35">
      <c r="A19" s="31" t="s">
        <v>12</v>
      </c>
      <c r="B19" s="6">
        <v>20.6</v>
      </c>
      <c r="C19" s="6">
        <v>6.9</v>
      </c>
      <c r="D19" s="6">
        <v>10.199999999999999</v>
      </c>
      <c r="E19" s="7">
        <v>0.52800000000000002</v>
      </c>
      <c r="F19" s="7">
        <v>0.314</v>
      </c>
      <c r="G19" s="7">
        <v>14.9</v>
      </c>
      <c r="H19" s="7">
        <v>3.5</v>
      </c>
      <c r="I19" s="32">
        <f t="shared" si="0"/>
        <v>0.2348993288590604</v>
      </c>
      <c r="K19" s="52"/>
      <c r="L19" s="53"/>
      <c r="M19" s="16"/>
      <c r="N19" s="16"/>
      <c r="O19" s="16" t="str">
        <f ca="1">T51</f>
        <v>2OT</v>
      </c>
      <c r="P19" s="53"/>
      <c r="Q19" s="53"/>
      <c r="R19" s="16"/>
      <c r="S19" s="23"/>
    </row>
    <row r="20" spans="1:42" ht="15.6" thickTop="1" thickBot="1" x14ac:dyDescent="0.35">
      <c r="A20" s="31" t="s">
        <v>25</v>
      </c>
      <c r="B20" s="6">
        <v>20.6</v>
      </c>
      <c r="C20" s="6">
        <v>6.1</v>
      </c>
      <c r="D20" s="6">
        <v>6.8</v>
      </c>
      <c r="E20" s="7">
        <v>0.45400000000000001</v>
      </c>
      <c r="F20" s="7">
        <v>0.248</v>
      </c>
      <c r="G20" s="7">
        <v>13.4</v>
      </c>
      <c r="H20" s="7">
        <v>2.2000000000000002</v>
      </c>
      <c r="I20" s="32">
        <f t="shared" si="0"/>
        <v>0.16417910447761194</v>
      </c>
      <c r="K20" s="49" t="s">
        <v>80</v>
      </c>
      <c r="L20" s="50"/>
      <c r="M20" s="50"/>
      <c r="N20" s="50"/>
      <c r="O20" s="16"/>
      <c r="P20" s="50" t="s">
        <v>80</v>
      </c>
      <c r="Q20" s="50"/>
      <c r="R20" s="50"/>
      <c r="S20" s="51"/>
    </row>
    <row r="21" spans="1:42" ht="15.6" thickTop="1" thickBot="1" x14ac:dyDescent="0.35">
      <c r="A21" s="31" t="s">
        <v>28</v>
      </c>
      <c r="B21" s="6">
        <v>20.399999999999999</v>
      </c>
      <c r="C21" s="6">
        <v>4.3</v>
      </c>
      <c r="D21" s="6">
        <v>6.1</v>
      </c>
      <c r="E21" s="7">
        <v>0.499</v>
      </c>
      <c r="F21" s="7">
        <v>0.41799999999999998</v>
      </c>
      <c r="G21" s="7">
        <v>15.5</v>
      </c>
      <c r="H21" s="7">
        <v>5.8</v>
      </c>
      <c r="I21" s="32">
        <f t="shared" si="0"/>
        <v>0.37419354838709679</v>
      </c>
      <c r="K21" s="24" t="s">
        <v>0</v>
      </c>
      <c r="L21" s="22" t="s">
        <v>77</v>
      </c>
      <c r="M21" s="22" t="s">
        <v>78</v>
      </c>
      <c r="N21" s="22" t="s">
        <v>79</v>
      </c>
      <c r="O21" s="16"/>
      <c r="P21" s="22" t="s">
        <v>0</v>
      </c>
      <c r="Q21" s="22" t="s">
        <v>77</v>
      </c>
      <c r="R21" s="22" t="s">
        <v>78</v>
      </c>
      <c r="S21" s="25" t="s">
        <v>79</v>
      </c>
    </row>
    <row r="22" spans="1:42" ht="15.6" thickTop="1" thickBot="1" x14ac:dyDescent="0.35">
      <c r="A22" s="31" t="s">
        <v>27</v>
      </c>
      <c r="B22" s="6">
        <v>19.600000000000001</v>
      </c>
      <c r="C22" s="6">
        <v>7.6</v>
      </c>
      <c r="D22" s="6">
        <v>4.7</v>
      </c>
      <c r="E22" s="7">
        <v>0.41699999999999998</v>
      </c>
      <c r="F22" s="7">
        <v>0.35399999999999998</v>
      </c>
      <c r="G22" s="7">
        <v>14.2</v>
      </c>
      <c r="H22" s="7">
        <v>8.3000000000000007</v>
      </c>
      <c r="I22" s="32">
        <f t="shared" si="0"/>
        <v>0.58450704225352124</v>
      </c>
      <c r="K22" s="26">
        <f>V49</f>
        <v>0</v>
      </c>
      <c r="L22" s="26">
        <f t="shared" ref="L22:N26" ca="1" si="1">W49</f>
        <v>0</v>
      </c>
      <c r="M22" s="26" t="e">
        <f t="shared" ca="1" si="1"/>
        <v>#DIV/0!</v>
      </c>
      <c r="N22" s="26" t="e">
        <f t="shared" ca="1" si="1"/>
        <v>#DIV/0!</v>
      </c>
      <c r="P22" s="2">
        <f>V55</f>
        <v>0</v>
      </c>
      <c r="Q22" s="2">
        <f t="shared" ref="Q22:S26" ca="1" si="2">W55</f>
        <v>0</v>
      </c>
      <c r="R22" s="2" t="e">
        <f t="shared" ca="1" si="2"/>
        <v>#DIV/0!</v>
      </c>
      <c r="S22" s="27" t="e">
        <f t="shared" ca="1" si="2"/>
        <v>#DIV/0!</v>
      </c>
    </row>
    <row r="23" spans="1:42" ht="15.6" thickTop="1" thickBot="1" x14ac:dyDescent="0.35">
      <c r="A23" s="31" t="s">
        <v>14</v>
      </c>
      <c r="B23" s="6">
        <v>18.3</v>
      </c>
      <c r="C23" s="6">
        <v>4.8</v>
      </c>
      <c r="D23" s="6">
        <v>12.5</v>
      </c>
      <c r="E23" s="7">
        <v>0.54</v>
      </c>
      <c r="F23" s="7">
        <v>0.254</v>
      </c>
      <c r="G23" s="7">
        <v>13.7</v>
      </c>
      <c r="H23" s="7">
        <v>1.1000000000000001</v>
      </c>
      <c r="I23" s="32">
        <f t="shared" si="0"/>
        <v>8.0291970802919721E-2</v>
      </c>
      <c r="K23" s="26">
        <f t="shared" ref="K23:K26" si="3">V50</f>
        <v>0</v>
      </c>
      <c r="L23" s="26">
        <f t="shared" ca="1" si="1"/>
        <v>0</v>
      </c>
      <c r="M23" s="26" t="e">
        <f t="shared" ca="1" si="1"/>
        <v>#DIV/0!</v>
      </c>
      <c r="N23" s="26" t="e">
        <f t="shared" ca="1" si="1"/>
        <v>#DIV/0!</v>
      </c>
      <c r="P23" s="2">
        <f t="shared" ref="P23:P26" si="4">V56</f>
        <v>0</v>
      </c>
      <c r="Q23" s="2">
        <f t="shared" ca="1" si="2"/>
        <v>0</v>
      </c>
      <c r="R23" s="2" t="e">
        <f t="shared" ca="1" si="2"/>
        <v>#DIV/0!</v>
      </c>
      <c r="S23" s="27" t="e">
        <f t="shared" ca="1" si="2"/>
        <v>#DIV/0!</v>
      </c>
    </row>
    <row r="24" spans="1:42" ht="15.6" thickTop="1" thickBot="1" x14ac:dyDescent="0.35">
      <c r="A24" s="31" t="s">
        <v>10</v>
      </c>
      <c r="B24" s="6">
        <v>17.5</v>
      </c>
      <c r="C24" s="6">
        <v>6.6</v>
      </c>
      <c r="D24" s="6">
        <v>5</v>
      </c>
      <c r="E24" s="7">
        <v>0.48899999999999999</v>
      </c>
      <c r="F24" s="7">
        <v>0.36199999999999999</v>
      </c>
      <c r="G24" s="7">
        <v>12.8</v>
      </c>
      <c r="H24" s="7">
        <v>4.4000000000000004</v>
      </c>
      <c r="I24" s="32">
        <f t="shared" si="0"/>
        <v>0.34375</v>
      </c>
      <c r="K24" s="26">
        <f t="shared" si="3"/>
        <v>0</v>
      </c>
      <c r="L24" s="26">
        <f t="shared" ca="1" si="1"/>
        <v>0</v>
      </c>
      <c r="M24" s="26" t="e">
        <f t="shared" ca="1" si="1"/>
        <v>#DIV/0!</v>
      </c>
      <c r="N24" s="26" t="e">
        <f t="shared" ca="1" si="1"/>
        <v>#DIV/0!</v>
      </c>
      <c r="P24" s="2">
        <f t="shared" si="4"/>
        <v>0</v>
      </c>
      <c r="Q24" s="2">
        <f t="shared" ca="1" si="2"/>
        <v>0</v>
      </c>
      <c r="R24" s="2" t="e">
        <f t="shared" ca="1" si="2"/>
        <v>#DIV/0!</v>
      </c>
      <c r="S24" s="27" t="e">
        <f t="shared" ca="1" si="2"/>
        <v>#DIV/0!</v>
      </c>
    </row>
    <row r="25" spans="1:42" ht="15.6" thickTop="1" thickBot="1" x14ac:dyDescent="0.35">
      <c r="A25" s="31" t="s">
        <v>13</v>
      </c>
      <c r="B25" s="6">
        <v>16.899999999999999</v>
      </c>
      <c r="C25" s="6">
        <v>8.3000000000000007</v>
      </c>
      <c r="D25" s="6">
        <v>7.9</v>
      </c>
      <c r="E25" s="7">
        <v>0.58499999999999996</v>
      </c>
      <c r="F25" s="7">
        <v>0.33300000000000002</v>
      </c>
      <c r="G25" s="7">
        <v>11.4</v>
      </c>
      <c r="H25" s="7">
        <v>0.1</v>
      </c>
      <c r="I25" s="32">
        <f t="shared" si="0"/>
        <v>8.771929824561403E-3</v>
      </c>
      <c r="K25" s="26">
        <f t="shared" si="3"/>
        <v>0</v>
      </c>
      <c r="L25" s="26">
        <f t="shared" ca="1" si="1"/>
        <v>0</v>
      </c>
      <c r="M25" s="26" t="e">
        <f t="shared" ca="1" si="1"/>
        <v>#DIV/0!</v>
      </c>
      <c r="N25" s="26" t="e">
        <f t="shared" ca="1" si="1"/>
        <v>#DIV/0!</v>
      </c>
      <c r="P25" s="2">
        <f t="shared" si="4"/>
        <v>0</v>
      </c>
      <c r="Q25" s="2">
        <f t="shared" ca="1" si="2"/>
        <v>0</v>
      </c>
      <c r="R25" s="2" t="e">
        <f t="shared" ca="1" si="2"/>
        <v>#DIV/0!</v>
      </c>
      <c r="S25" s="27" t="e">
        <f t="shared" ca="1" si="2"/>
        <v>#DIV/0!</v>
      </c>
    </row>
    <row r="26" spans="1:42" ht="15.6" thickTop="1" thickBot="1" x14ac:dyDescent="0.35">
      <c r="A26" s="31" t="s">
        <v>22</v>
      </c>
      <c r="B26" s="6">
        <v>15.8</v>
      </c>
      <c r="C26" s="6">
        <v>4.9000000000000004</v>
      </c>
      <c r="D26" s="6">
        <v>10.4</v>
      </c>
      <c r="E26" s="7">
        <v>0.56699999999999995</v>
      </c>
      <c r="F26" s="7">
        <v>7.6999999999999999E-2</v>
      </c>
      <c r="G26" s="7">
        <v>11.1</v>
      </c>
      <c r="H26" s="7">
        <v>0.2</v>
      </c>
      <c r="I26" s="32">
        <f t="shared" si="0"/>
        <v>1.8018018018018018E-2</v>
      </c>
      <c r="K26" s="28">
        <f t="shared" si="3"/>
        <v>0</v>
      </c>
      <c r="L26" s="28">
        <f t="shared" ca="1" si="1"/>
        <v>0</v>
      </c>
      <c r="M26" s="28" t="e">
        <f t="shared" ca="1" si="1"/>
        <v>#DIV/0!</v>
      </c>
      <c r="N26" s="28" t="e">
        <f t="shared" ca="1" si="1"/>
        <v>#DIV/0!</v>
      </c>
      <c r="O26" s="21"/>
      <c r="P26" s="29">
        <f t="shared" si="4"/>
        <v>0</v>
      </c>
      <c r="Q26" s="29">
        <f t="shared" ca="1" si="2"/>
        <v>0</v>
      </c>
      <c r="R26" s="29" t="e">
        <f t="shared" ca="1" si="2"/>
        <v>#DIV/0!</v>
      </c>
      <c r="S26" s="30" t="e">
        <f t="shared" ca="1" si="2"/>
        <v>#DIV/0!</v>
      </c>
    </row>
    <row r="27" spans="1:42" ht="15" thickTop="1" x14ac:dyDescent="0.3">
      <c r="A27" s="40" t="s">
        <v>26</v>
      </c>
      <c r="B27" s="37">
        <v>15.6</v>
      </c>
      <c r="C27" s="37">
        <v>1.5</v>
      </c>
      <c r="D27" s="37">
        <v>14.6</v>
      </c>
      <c r="E27" s="38">
        <v>0.69799999999999995</v>
      </c>
      <c r="F27" s="38">
        <v>0</v>
      </c>
      <c r="G27" s="38">
        <v>8.1999999999999993</v>
      </c>
      <c r="H27" s="38">
        <v>0</v>
      </c>
      <c r="I27" s="39">
        <f t="shared" si="0"/>
        <v>0</v>
      </c>
    </row>
    <row r="29" spans="1:42" ht="15" thickBot="1" x14ac:dyDescent="0.35">
      <c r="A29" s="1" t="s">
        <v>31</v>
      </c>
      <c r="B29" s="3"/>
      <c r="M29" s="48" t="s">
        <v>64</v>
      </c>
      <c r="N29" s="48"/>
      <c r="O29" s="48"/>
      <c r="P29" s="48"/>
      <c r="Q29" s="48"/>
      <c r="R29" s="48"/>
      <c r="S29" s="48"/>
      <c r="T29" s="48"/>
      <c r="U29" s="48"/>
      <c r="V29" s="48"/>
      <c r="W29" s="60" t="s">
        <v>66</v>
      </c>
      <c r="X29" s="60"/>
      <c r="Y29" s="60"/>
      <c r="Z29" s="60"/>
      <c r="AA29" s="60"/>
      <c r="AB29" s="60"/>
      <c r="AC29" s="60"/>
      <c r="AD29" s="60"/>
      <c r="AE29" s="60"/>
      <c r="AF29" s="60"/>
      <c r="AG29" s="61" t="s">
        <v>67</v>
      </c>
      <c r="AH29" s="61"/>
      <c r="AI29" s="61"/>
      <c r="AJ29" s="61"/>
      <c r="AK29" s="61"/>
      <c r="AL29" s="61"/>
      <c r="AM29" s="61"/>
      <c r="AN29" s="61"/>
      <c r="AO29" s="61"/>
      <c r="AP29" s="61"/>
    </row>
    <row r="30" spans="1:42" ht="15.6" thickTop="1" thickBot="1" x14ac:dyDescent="0.35">
      <c r="A30" s="4" t="s">
        <v>0</v>
      </c>
      <c r="B30" s="4" t="s">
        <v>1</v>
      </c>
      <c r="C30" s="4" t="s">
        <v>2</v>
      </c>
      <c r="D30" s="4" t="s">
        <v>3</v>
      </c>
      <c r="E30" s="5" t="s">
        <v>36</v>
      </c>
      <c r="F30" s="5" t="s">
        <v>37</v>
      </c>
      <c r="G30" s="5" t="s">
        <v>38</v>
      </c>
      <c r="H30" s="5" t="s">
        <v>39</v>
      </c>
      <c r="I30" s="5" t="s">
        <v>40</v>
      </c>
      <c r="J30" s="10" t="s">
        <v>41</v>
      </c>
      <c r="K30" s="9" t="s">
        <v>43</v>
      </c>
      <c r="L30" s="9" t="s">
        <v>42</v>
      </c>
      <c r="M30" s="9" t="s">
        <v>45</v>
      </c>
      <c r="N30" s="9" t="s">
        <v>47</v>
      </c>
      <c r="O30" s="9" t="s">
        <v>85</v>
      </c>
      <c r="P30" s="9" t="s">
        <v>86</v>
      </c>
      <c r="Q30" s="9" t="s">
        <v>60</v>
      </c>
      <c r="R30" s="9" t="s">
        <v>61</v>
      </c>
      <c r="S30" s="9" t="s">
        <v>59</v>
      </c>
      <c r="T30" s="9" t="s">
        <v>55</v>
      </c>
      <c r="U30" s="9" t="s">
        <v>56</v>
      </c>
      <c r="V30" s="9" t="s">
        <v>57</v>
      </c>
      <c r="W30" s="9" t="s">
        <v>45</v>
      </c>
      <c r="X30" s="9" t="s">
        <v>47</v>
      </c>
      <c r="Y30" s="9" t="s">
        <v>85</v>
      </c>
      <c r="Z30" s="9" t="s">
        <v>86</v>
      </c>
      <c r="AA30" s="9" t="s">
        <v>60</v>
      </c>
      <c r="AB30" s="9" t="s">
        <v>61</v>
      </c>
      <c r="AC30" s="9" t="s">
        <v>59</v>
      </c>
      <c r="AD30" s="9" t="s">
        <v>55</v>
      </c>
      <c r="AE30" s="9" t="s">
        <v>56</v>
      </c>
      <c r="AF30" s="9" t="s">
        <v>57</v>
      </c>
      <c r="AG30" s="9" t="s">
        <v>45</v>
      </c>
      <c r="AH30" s="9" t="s">
        <v>47</v>
      </c>
      <c r="AI30" s="9" t="s">
        <v>85</v>
      </c>
      <c r="AJ30" s="9" t="s">
        <v>86</v>
      </c>
      <c r="AK30" s="9" t="s">
        <v>60</v>
      </c>
      <c r="AL30" s="9" t="s">
        <v>61</v>
      </c>
      <c r="AM30" s="9" t="s">
        <v>59</v>
      </c>
      <c r="AN30" s="9" t="s">
        <v>55</v>
      </c>
      <c r="AO30" s="9" t="s">
        <v>56</v>
      </c>
      <c r="AP30" s="9" t="s">
        <v>57</v>
      </c>
    </row>
    <row r="31" spans="1:42" ht="15.6" thickTop="1" thickBot="1" x14ac:dyDescent="0.35">
      <c r="A31" s="6"/>
      <c r="B31" s="6"/>
      <c r="C31" s="6"/>
      <c r="D31" s="6"/>
      <c r="E31" s="7"/>
      <c r="F31" s="7"/>
      <c r="G31" s="7"/>
      <c r="H31" s="7"/>
      <c r="I31" s="8"/>
      <c r="J31" s="41" t="e">
        <f>G31/SUM($G$31:$G$35)</f>
        <v>#DIV/0!</v>
      </c>
      <c r="K31" s="42" t="e">
        <f>C31/SUM($C$31:$C$35)</f>
        <v>#DIV/0!</v>
      </c>
      <c r="L31" s="42" t="e">
        <f>D31/SUM($D$31:$D$35)</f>
        <v>#DIV/0!</v>
      </c>
      <c r="M31" s="42">
        <f ca="1">NORMINV(RAND(),$E31+$B$55,$B$51)</f>
        <v>0.1244103292985866</v>
      </c>
      <c r="N31" s="42">
        <f ca="1">NORMINV(RAND(),$F31+$B$56,$B$52)</f>
        <v>3.9161820378159136E-2</v>
      </c>
      <c r="O31" s="42" t="e">
        <f ca="1">NORMINV(RAND(),$L31,$B$53)</f>
        <v>#DIV/0!</v>
      </c>
      <c r="P31" s="42" t="e">
        <f ca="1">NORMINV(RAND(),$K31,$B$54)</f>
        <v>#DIV/0!</v>
      </c>
      <c r="Q31" s="2">
        <f ca="1">ROUND((1-M31)*$G31,0)</f>
        <v>0</v>
      </c>
      <c r="R31" s="2">
        <f ca="1">ROUND(M31*$G31,0)</f>
        <v>0</v>
      </c>
      <c r="S31" s="2">
        <f ca="1">ROUND(R31*$I31,0)</f>
        <v>0</v>
      </c>
      <c r="T31" s="2">
        <f ca="1">(R31*2)+(S31*3)</f>
        <v>0</v>
      </c>
      <c r="U31" s="2" t="e">
        <f ca="1">ROUND($Q$45*$O31,0)</f>
        <v>#DIV/0!</v>
      </c>
      <c r="V31" s="2" t="e">
        <f ca="1">ROUND(R$36*$P31*$B$57,0)</f>
        <v>#DIV/0!</v>
      </c>
      <c r="W31" s="2">
        <f ca="1">NORMINV(RAND(),$E31+$B$55,$B$58)</f>
        <v>-5.4642460946149975E-2</v>
      </c>
      <c r="X31" s="2">
        <f ca="1">NORMINV(RAND(),$F31+$B$56,$B$59)</f>
        <v>-6.689021654254157E-2</v>
      </c>
      <c r="Y31" s="42" t="e">
        <f ca="1">NORMINV(RAND(),$L31,$B$53)</f>
        <v>#DIV/0!</v>
      </c>
      <c r="Z31" s="42" t="e">
        <f ca="1">NORMINV(RAND(),$K31,$B$54)</f>
        <v>#DIV/0!</v>
      </c>
      <c r="AA31" s="2">
        <f ca="1">ROUND((1-W31)*$G31*$B$60,0)</f>
        <v>0</v>
      </c>
      <c r="AB31" s="2">
        <f ca="1">ROUND(W31*$G31*$B$60,0)</f>
        <v>0</v>
      </c>
      <c r="AC31" s="2">
        <f ca="1">ROUND(AB31*$I31*$B$60,0)</f>
        <v>0</v>
      </c>
      <c r="AD31" s="2">
        <f ca="1">(AB31*2)+(AC31*3)</f>
        <v>0</v>
      </c>
      <c r="AE31" s="2" t="e">
        <f ca="1">ROUND(AA$45*$Y31,0)</f>
        <v>#DIV/0!</v>
      </c>
      <c r="AF31" s="2" t="e">
        <f ca="1">ROUND(AB$36*$Z31*$B$57,0)</f>
        <v>#DIV/0!</v>
      </c>
      <c r="AG31" s="2">
        <f ca="1">NORMINV(RAND(),$E31+$B$55,$B$58)</f>
        <v>4.0086459737439795E-3</v>
      </c>
      <c r="AH31" s="2">
        <f ca="1">NORMINV(RAND(),$F31+$B$56,$B$59)</f>
        <v>0.12324827910021106</v>
      </c>
      <c r="AI31" s="42" t="e">
        <f ca="1">NORMINV(RAND(),$L31,$B$53)</f>
        <v>#DIV/0!</v>
      </c>
      <c r="AJ31" s="42" t="e">
        <f ca="1">NORMINV(RAND(),$K31,$B$54)</f>
        <v>#DIV/0!</v>
      </c>
      <c r="AK31" s="2">
        <f ca="1">ROUND((1-AG31)*$G31*$B$60,0)</f>
        <v>0</v>
      </c>
      <c r="AL31" s="2">
        <f ca="1">ROUND(AG31*$G31*$B$60,0)</f>
        <v>0</v>
      </c>
      <c r="AM31" s="2">
        <f ca="1">ROUND(AL31*$I31,0)</f>
        <v>0</v>
      </c>
      <c r="AN31" s="2">
        <f ca="1">(AL31*2)+(AM31*3)</f>
        <v>0</v>
      </c>
      <c r="AO31" s="2" t="e">
        <f ca="1">ROUND(AK$45*$AI31,0)</f>
        <v>#DIV/0!</v>
      </c>
      <c r="AP31" s="2" t="e">
        <f ca="1">ROUND(AL$36*$K31*$B$57,0)</f>
        <v>#DIV/0!</v>
      </c>
    </row>
    <row r="32" spans="1:42" ht="15.6" thickTop="1" thickBot="1" x14ac:dyDescent="0.35">
      <c r="A32" s="6"/>
      <c r="B32" s="6"/>
      <c r="C32" s="6"/>
      <c r="D32" s="6"/>
      <c r="E32" s="7"/>
      <c r="F32" s="7"/>
      <c r="G32" s="7"/>
      <c r="H32" s="7"/>
      <c r="I32" s="8"/>
      <c r="J32" s="41" t="e">
        <f t="shared" ref="J32:J35" si="5">G32/SUM($G$31:$G$35)</f>
        <v>#DIV/0!</v>
      </c>
      <c r="K32" s="42" t="e">
        <f t="shared" ref="K32:K35" si="6">C32/SUM($C$31:$C$35)</f>
        <v>#DIV/0!</v>
      </c>
      <c r="L32" s="42" t="e">
        <f t="shared" ref="L32:L35" si="7">D32/SUM($D$31:$D$35)</f>
        <v>#DIV/0!</v>
      </c>
      <c r="M32" s="42">
        <f ca="1">NORMINV(RAND(),$E32+$B$55,$B$51)</f>
        <v>0.14636754314767977</v>
      </c>
      <c r="N32" s="42">
        <f ca="1">NORMINV(RAND(),$F32+$B$56,$B$52)</f>
        <v>-8.0432850619763713E-2</v>
      </c>
      <c r="O32" s="42" t="e">
        <f t="shared" ref="O32:O35" ca="1" si="8">NORMINV(RAND(),$L32,$B$53)</f>
        <v>#DIV/0!</v>
      </c>
      <c r="P32" s="42" t="e">
        <f t="shared" ref="P32:P35" ca="1" si="9">NORMINV(RAND(),$K32,$B$54)</f>
        <v>#DIV/0!</v>
      </c>
      <c r="Q32" s="2">
        <f ca="1">ROUND((1-M32)*$G32,0)</f>
        <v>0</v>
      </c>
      <c r="R32" s="2">
        <f ca="1">ROUND(M32*$G32,0)</f>
        <v>0</v>
      </c>
      <c r="S32" s="2">
        <f ca="1">ROUND(R32*$I32,0)</f>
        <v>0</v>
      </c>
      <c r="T32" s="2">
        <f t="shared" ref="T32:T35" ca="1" si="10">(R32*2)+(S32*3)</f>
        <v>0</v>
      </c>
      <c r="U32" s="2" t="e">
        <f ca="1">ROUND($Q$45*$O32,0)</f>
        <v>#DIV/0!</v>
      </c>
      <c r="V32" s="2" t="e">
        <f t="shared" ref="V32:V35" ca="1" si="11">ROUND(R$36*$P32*$B$57,0)</f>
        <v>#DIV/0!</v>
      </c>
      <c r="W32" s="2">
        <f ca="1">NORMINV(RAND(),$E32+$B$55,$B$58)</f>
        <v>-6.6287451667098651E-2</v>
      </c>
      <c r="X32" s="2">
        <f ca="1">NORMINV(RAND(),$F32+$B$56,$B$59)</f>
        <v>-1.8428180987243963E-2</v>
      </c>
      <c r="Y32" s="42" t="e">
        <f t="shared" ref="Y32:Y35" ca="1" si="12">NORMINV(RAND(),$L32,$B$53)</f>
        <v>#DIV/0!</v>
      </c>
      <c r="Z32" s="42" t="e">
        <f t="shared" ref="Z32:Z35" ca="1" si="13">NORMINV(RAND(),$K32,$B$54)</f>
        <v>#DIV/0!</v>
      </c>
      <c r="AA32" s="2">
        <f ca="1">ROUND((1-W32)*$G32*$B$60,0)</f>
        <v>0</v>
      </c>
      <c r="AB32" s="2">
        <f ca="1">ROUND(W32*$G32*$B$60,0)</f>
        <v>0</v>
      </c>
      <c r="AC32" s="2">
        <f ca="1">ROUND(AB32*$I32*$B$60,0)</f>
        <v>0</v>
      </c>
      <c r="AD32" s="2">
        <f t="shared" ref="AD32:AD35" ca="1" si="14">(AB32*2)+(AC32*3)</f>
        <v>0</v>
      </c>
      <c r="AE32" s="2" t="e">
        <f ca="1">ROUND(AA$45*$Y32,0)</f>
        <v>#DIV/0!</v>
      </c>
      <c r="AF32" s="2" t="e">
        <f t="shared" ref="AF32:AF35" ca="1" si="15">ROUND(AB$36*$Z32*$B$57,0)</f>
        <v>#DIV/0!</v>
      </c>
      <c r="AG32" s="2">
        <f ca="1">NORMINV(RAND(),$E32+$B$55,$B$58)</f>
        <v>0.20657506985700777</v>
      </c>
      <c r="AH32" s="2">
        <f ca="1">NORMINV(RAND(),$F32+$B$56,$B$59)</f>
        <v>-5.2704975434136977E-2</v>
      </c>
      <c r="AI32" s="42" t="e">
        <f t="shared" ref="AI32:AI35" ca="1" si="16">NORMINV(RAND(),$L32,$B$53)</f>
        <v>#DIV/0!</v>
      </c>
      <c r="AJ32" s="42" t="e">
        <f t="shared" ref="AJ32:AJ35" ca="1" si="17">NORMINV(RAND(),$K32,$B$54)</f>
        <v>#DIV/0!</v>
      </c>
      <c r="AK32" s="2">
        <f ca="1">ROUND((1-AG32)*$G32*$B$60,0)</f>
        <v>0</v>
      </c>
      <c r="AL32" s="2">
        <f ca="1">ROUND(AG32*$G32*$B$60,0)</f>
        <v>0</v>
      </c>
      <c r="AM32" s="2">
        <f t="shared" ref="AM32:AM35" ca="1" si="18">ROUND(AL32*$I32,0)</f>
        <v>0</v>
      </c>
      <c r="AN32" s="2">
        <f t="shared" ref="AN32:AN35" ca="1" si="19">(AL32*2)+(AM32*3)</f>
        <v>0</v>
      </c>
      <c r="AO32" s="2" t="e">
        <f t="shared" ref="AO32:AO35" ca="1" si="20">ROUND(AK$45*$AI32,0)</f>
        <v>#DIV/0!</v>
      </c>
      <c r="AP32" s="2" t="e">
        <f ca="1">ROUND(AL$36*$K32*$B$57,0)</f>
        <v>#DIV/0!</v>
      </c>
    </row>
    <row r="33" spans="1:42" ht="15.6" thickTop="1" thickBot="1" x14ac:dyDescent="0.35">
      <c r="A33" s="6"/>
      <c r="B33" s="6"/>
      <c r="C33" s="6"/>
      <c r="D33" s="6"/>
      <c r="E33" s="7"/>
      <c r="F33" s="7"/>
      <c r="G33" s="7"/>
      <c r="H33" s="7"/>
      <c r="I33" s="8"/>
      <c r="J33" s="41" t="e">
        <f t="shared" si="5"/>
        <v>#DIV/0!</v>
      </c>
      <c r="K33" s="42" t="e">
        <f t="shared" si="6"/>
        <v>#DIV/0!</v>
      </c>
      <c r="L33" s="42" t="e">
        <f t="shared" si="7"/>
        <v>#DIV/0!</v>
      </c>
      <c r="M33" s="42">
        <f ca="1">NORMINV(RAND(),$E33+$B$55,$B$51)</f>
        <v>0.10473972656997416</v>
      </c>
      <c r="N33" s="42">
        <f ca="1">NORMINV(RAND(),$F33+$B$56,$B$52)</f>
        <v>-3.1753120668102701E-2</v>
      </c>
      <c r="O33" s="42" t="e">
        <f t="shared" ca="1" si="8"/>
        <v>#DIV/0!</v>
      </c>
      <c r="P33" s="42" t="e">
        <f t="shared" ca="1" si="9"/>
        <v>#DIV/0!</v>
      </c>
      <c r="Q33" s="2">
        <f ca="1">ROUND((1-M33)*$G33,0)</f>
        <v>0</v>
      </c>
      <c r="R33" s="2">
        <f ca="1">ROUND(M33*$G33,0)</f>
        <v>0</v>
      </c>
      <c r="S33" s="2">
        <f ca="1">ROUND(R33*$I33,0)</f>
        <v>0</v>
      </c>
      <c r="T33" s="2">
        <f t="shared" ca="1" si="10"/>
        <v>0</v>
      </c>
      <c r="U33" s="2" t="e">
        <f ca="1">ROUND($Q$45*$O33,0)</f>
        <v>#DIV/0!</v>
      </c>
      <c r="V33" s="2" t="e">
        <f t="shared" ca="1" si="11"/>
        <v>#DIV/0!</v>
      </c>
      <c r="W33" s="2">
        <f ca="1">NORMINV(RAND(),$E33+$B$55,$B$58)</f>
        <v>-3.7240370346224544E-2</v>
      </c>
      <c r="X33" s="2">
        <f ca="1">NORMINV(RAND(),$F33+$B$56,$B$59)</f>
        <v>0.16654766582152969</v>
      </c>
      <c r="Y33" s="42" t="e">
        <f t="shared" ca="1" si="12"/>
        <v>#DIV/0!</v>
      </c>
      <c r="Z33" s="42" t="e">
        <f t="shared" ca="1" si="13"/>
        <v>#DIV/0!</v>
      </c>
      <c r="AA33" s="2">
        <f ca="1">ROUND((1-W33)*$G33*$B$60,0)</f>
        <v>0</v>
      </c>
      <c r="AB33" s="2">
        <f ca="1">ROUND(W33*$G33*$B$60,0)</f>
        <v>0</v>
      </c>
      <c r="AC33" s="2">
        <f ca="1">ROUND(AB33*$I33*$B$60,0)</f>
        <v>0</v>
      </c>
      <c r="AD33" s="2">
        <f t="shared" ca="1" si="14"/>
        <v>0</v>
      </c>
      <c r="AE33" s="2" t="e">
        <f ca="1">ROUND(AA$45*$Y33,0)</f>
        <v>#DIV/0!</v>
      </c>
      <c r="AF33" s="2" t="e">
        <f t="shared" ca="1" si="15"/>
        <v>#DIV/0!</v>
      </c>
      <c r="AG33" s="2">
        <f ca="1">NORMINV(RAND(),$E33+$B$55,$B$58)</f>
        <v>-0.11303398948682067</v>
      </c>
      <c r="AH33" s="2">
        <f ca="1">NORMINV(RAND(),$F33+$B$56,$B$59)</f>
        <v>-1.4445767742413712E-2</v>
      </c>
      <c r="AI33" s="42" t="e">
        <f t="shared" ca="1" si="16"/>
        <v>#DIV/0!</v>
      </c>
      <c r="AJ33" s="42" t="e">
        <f t="shared" ca="1" si="17"/>
        <v>#DIV/0!</v>
      </c>
      <c r="AK33" s="2">
        <f ca="1">ROUND((1-AG33)*$G33*$B$60,0)</f>
        <v>0</v>
      </c>
      <c r="AL33" s="2">
        <f ca="1">ROUND(AG33*$G33*$B$60,0)</f>
        <v>0</v>
      </c>
      <c r="AM33" s="2">
        <f t="shared" ca="1" si="18"/>
        <v>0</v>
      </c>
      <c r="AN33" s="2">
        <f t="shared" ca="1" si="19"/>
        <v>0</v>
      </c>
      <c r="AO33" s="2" t="e">
        <f t="shared" ca="1" si="20"/>
        <v>#DIV/0!</v>
      </c>
      <c r="AP33" s="2" t="e">
        <f t="shared" ref="AP33:AP35" ca="1" si="21">ROUND(AL$36*$K33*$B$57,0)</f>
        <v>#DIV/0!</v>
      </c>
    </row>
    <row r="34" spans="1:42" ht="15.6" thickTop="1" thickBot="1" x14ac:dyDescent="0.35">
      <c r="A34" s="6"/>
      <c r="B34" s="6"/>
      <c r="C34" s="6"/>
      <c r="D34" s="6"/>
      <c r="E34" s="7"/>
      <c r="F34" s="7"/>
      <c r="G34" s="7"/>
      <c r="H34" s="7"/>
      <c r="I34" s="8"/>
      <c r="J34" s="41" t="e">
        <f t="shared" si="5"/>
        <v>#DIV/0!</v>
      </c>
      <c r="K34" s="42" t="e">
        <f t="shared" si="6"/>
        <v>#DIV/0!</v>
      </c>
      <c r="L34" s="42" t="e">
        <f t="shared" si="7"/>
        <v>#DIV/0!</v>
      </c>
      <c r="M34" s="42">
        <f ca="1">NORMINV(RAND(),$E34+$B$55,$B$51)</f>
        <v>-9.4819661815278664E-2</v>
      </c>
      <c r="N34" s="42">
        <f ca="1">NORMINV(RAND(),$F34+$B$56,$B$52)</f>
        <v>2.4860496551250617E-2</v>
      </c>
      <c r="O34" s="42" t="e">
        <f t="shared" ca="1" si="8"/>
        <v>#DIV/0!</v>
      </c>
      <c r="P34" s="42" t="e">
        <f t="shared" ca="1" si="9"/>
        <v>#DIV/0!</v>
      </c>
      <c r="Q34" s="2">
        <f ca="1">ROUND((1-M34)*$G34,0)</f>
        <v>0</v>
      </c>
      <c r="R34" s="2">
        <f ca="1">ROUND(M34*$G34,0)</f>
        <v>0</v>
      </c>
      <c r="S34" s="2">
        <f ca="1">ROUND(R34*$I34,0)</f>
        <v>0</v>
      </c>
      <c r="T34" s="2">
        <f t="shared" ca="1" si="10"/>
        <v>0</v>
      </c>
      <c r="U34" s="2" t="e">
        <f ca="1">ROUND($Q$45*$O34,0)</f>
        <v>#DIV/0!</v>
      </c>
      <c r="V34" s="2" t="e">
        <f t="shared" ca="1" si="11"/>
        <v>#DIV/0!</v>
      </c>
      <c r="W34" s="2">
        <f ca="1">NORMINV(RAND(),$E34+$B$55,$B$58)</f>
        <v>6.172227798121329E-2</v>
      </c>
      <c r="X34" s="2">
        <f ca="1">NORMINV(RAND(),$F34+$B$56,$B$59)</f>
        <v>-0.10162449802225151</v>
      </c>
      <c r="Y34" s="42" t="e">
        <f t="shared" ca="1" si="12"/>
        <v>#DIV/0!</v>
      </c>
      <c r="Z34" s="42" t="e">
        <f t="shared" ca="1" si="13"/>
        <v>#DIV/0!</v>
      </c>
      <c r="AA34" s="2">
        <f ca="1">ROUND((1-W34)*$G34*$B$60,0)</f>
        <v>0</v>
      </c>
      <c r="AB34" s="2">
        <f ca="1">ROUND(W34*$G34*$B$60,0)</f>
        <v>0</v>
      </c>
      <c r="AC34" s="2">
        <f ca="1">ROUND(AB34*$I34*$B$60,0)</f>
        <v>0</v>
      </c>
      <c r="AD34" s="2">
        <f t="shared" ca="1" si="14"/>
        <v>0</v>
      </c>
      <c r="AE34" s="2" t="e">
        <f ca="1">ROUND(AA$45*$Y34,0)</f>
        <v>#DIV/0!</v>
      </c>
      <c r="AF34" s="2" t="e">
        <f t="shared" ca="1" si="15"/>
        <v>#DIV/0!</v>
      </c>
      <c r="AG34" s="2">
        <f ca="1">NORMINV(RAND(),$E34+$B$55,$B$58)</f>
        <v>-0.21779947455487764</v>
      </c>
      <c r="AH34" s="2">
        <f ca="1">NORMINV(RAND(),$F34+$B$56,$B$59)</f>
        <v>-1.9006475973335182E-2</v>
      </c>
      <c r="AI34" s="42" t="e">
        <f t="shared" ca="1" si="16"/>
        <v>#DIV/0!</v>
      </c>
      <c r="AJ34" s="42" t="e">
        <f t="shared" ca="1" si="17"/>
        <v>#DIV/0!</v>
      </c>
      <c r="AK34" s="2">
        <f ca="1">ROUND((1-AG34)*$G34*$B$60,0)</f>
        <v>0</v>
      </c>
      <c r="AL34" s="2">
        <f ca="1">ROUND(AG34*$G34*$B$60,0)</f>
        <v>0</v>
      </c>
      <c r="AM34" s="2">
        <f t="shared" ca="1" si="18"/>
        <v>0</v>
      </c>
      <c r="AN34" s="2">
        <f t="shared" ca="1" si="19"/>
        <v>0</v>
      </c>
      <c r="AO34" s="2" t="e">
        <f t="shared" ca="1" si="20"/>
        <v>#DIV/0!</v>
      </c>
      <c r="AP34" s="2" t="e">
        <f t="shared" ca="1" si="21"/>
        <v>#DIV/0!</v>
      </c>
    </row>
    <row r="35" spans="1:42" ht="15.6" thickTop="1" thickBot="1" x14ac:dyDescent="0.35">
      <c r="A35" s="6"/>
      <c r="B35" s="6"/>
      <c r="C35" s="6"/>
      <c r="D35" s="6"/>
      <c r="E35" s="7"/>
      <c r="F35" s="7"/>
      <c r="G35" s="7"/>
      <c r="H35" s="7"/>
      <c r="I35" s="8"/>
      <c r="J35" s="41" t="e">
        <f t="shared" si="5"/>
        <v>#DIV/0!</v>
      </c>
      <c r="K35" s="42" t="e">
        <f t="shared" si="6"/>
        <v>#DIV/0!</v>
      </c>
      <c r="L35" s="42" t="e">
        <f t="shared" si="7"/>
        <v>#DIV/0!</v>
      </c>
      <c r="M35" s="42">
        <f ca="1">NORMINV(RAND(),$E35+$B$55,$B$51)</f>
        <v>-1.010191901114422E-2</v>
      </c>
      <c r="N35" s="42">
        <f ca="1">NORMINV(RAND(),$F35+$B$56,$B$52)</f>
        <v>-1.3414937559252091E-2</v>
      </c>
      <c r="O35" s="42" t="e">
        <f t="shared" ca="1" si="8"/>
        <v>#DIV/0!</v>
      </c>
      <c r="P35" s="42" t="e">
        <f t="shared" ca="1" si="9"/>
        <v>#DIV/0!</v>
      </c>
      <c r="Q35" s="2">
        <f ca="1">ROUND((1-M35)*$G35,0)</f>
        <v>0</v>
      </c>
      <c r="R35" s="2">
        <f ca="1">ROUND(M35*$G35,0)</f>
        <v>0</v>
      </c>
      <c r="S35" s="2">
        <f ca="1">ROUND(R35*$I35,0)</f>
        <v>0</v>
      </c>
      <c r="T35" s="2">
        <f t="shared" ca="1" si="10"/>
        <v>0</v>
      </c>
      <c r="U35" s="2" t="e">
        <f ca="1">ROUND($Q$45*$O35,0)</f>
        <v>#DIV/0!</v>
      </c>
      <c r="V35" s="2" t="e">
        <f t="shared" ca="1" si="11"/>
        <v>#DIV/0!</v>
      </c>
      <c r="W35" s="2">
        <f ca="1">NORMINV(RAND(),$E35+$B$55,$B$58)</f>
        <v>-0.14317694444675746</v>
      </c>
      <c r="X35" s="2">
        <f ca="1">NORMINV(RAND(),$F35+$B$56,$B$59)</f>
        <v>-0.11976968676546688</v>
      </c>
      <c r="Y35" s="42" t="e">
        <f t="shared" ca="1" si="12"/>
        <v>#DIV/0!</v>
      </c>
      <c r="Z35" s="42" t="e">
        <f t="shared" ca="1" si="13"/>
        <v>#DIV/0!</v>
      </c>
      <c r="AA35" s="2">
        <f ca="1">ROUND((1-W35)*$G35*$B$60,0)</f>
        <v>0</v>
      </c>
      <c r="AB35" s="2">
        <f ca="1">ROUND(W35*$G35*$B$60,0)</f>
        <v>0</v>
      </c>
      <c r="AC35" s="2">
        <f ca="1">ROUND(AB35*$I35*$B$60,0)</f>
        <v>0</v>
      </c>
      <c r="AD35" s="2">
        <f t="shared" ca="1" si="14"/>
        <v>0</v>
      </c>
      <c r="AE35" s="2" t="e">
        <f ca="1">ROUND(AA$45*$Y35,0)</f>
        <v>#DIV/0!</v>
      </c>
      <c r="AF35" s="2" t="e">
        <f t="shared" ca="1" si="15"/>
        <v>#DIV/0!</v>
      </c>
      <c r="AG35" s="2">
        <f ca="1">NORMINV(RAND(),$E35+$B$55,$B$58)</f>
        <v>-5.3893381726024883E-2</v>
      </c>
      <c r="AH35" s="2">
        <f ca="1">NORMINV(RAND(),$F35+$B$56,$B$59)</f>
        <v>6.430569676235702E-2</v>
      </c>
      <c r="AI35" s="42" t="e">
        <f t="shared" ca="1" si="16"/>
        <v>#DIV/0!</v>
      </c>
      <c r="AJ35" s="42" t="e">
        <f t="shared" ca="1" si="17"/>
        <v>#DIV/0!</v>
      </c>
      <c r="AK35" s="2">
        <f ca="1">ROUND((1-AG35)*$G35*$B$60,0)</f>
        <v>0</v>
      </c>
      <c r="AL35" s="2">
        <f ca="1">ROUND(AG35*$G35*$B$60,0)</f>
        <v>0</v>
      </c>
      <c r="AM35" s="2">
        <f t="shared" ca="1" si="18"/>
        <v>0</v>
      </c>
      <c r="AN35" s="2">
        <f t="shared" ca="1" si="19"/>
        <v>0</v>
      </c>
      <c r="AO35" s="2" t="e">
        <f t="shared" ca="1" si="20"/>
        <v>#DIV/0!</v>
      </c>
      <c r="AP35" s="2" t="e">
        <f t="shared" ca="1" si="21"/>
        <v>#DIV/0!</v>
      </c>
    </row>
    <row r="36" spans="1:42" ht="15" thickTop="1" x14ac:dyDescent="0.3">
      <c r="J36" t="e">
        <f>SUM(J31:J35)</f>
        <v>#DIV/0!</v>
      </c>
      <c r="K36" t="e">
        <f t="shared" ref="K36:L36" si="22">SUM(K31:K35)</f>
        <v>#DIV/0!</v>
      </c>
      <c r="L36" t="e">
        <f t="shared" si="22"/>
        <v>#DIV/0!</v>
      </c>
      <c r="Q36">
        <f ca="1">SUM(Q31:Q35)</f>
        <v>0</v>
      </c>
      <c r="R36">
        <f ca="1">SUM(R31:R35)</f>
        <v>0</v>
      </c>
      <c r="T36">
        <f ca="1">SUM(T31:T35)</f>
        <v>0</v>
      </c>
      <c r="U36" t="e">
        <f ca="1">SUM(U31:U35)</f>
        <v>#DIV/0!</v>
      </c>
      <c r="V36" t="e">
        <f ca="1">SUM(V31:V35)</f>
        <v>#DIV/0!</v>
      </c>
      <c r="AA36">
        <f ca="1">SUM(AA31:AA35)</f>
        <v>0</v>
      </c>
      <c r="AB36">
        <f ca="1">SUM(AB31:AB35)</f>
        <v>0</v>
      </c>
      <c r="AD36">
        <f ca="1">SUM(AD31:AD35)</f>
        <v>0</v>
      </c>
      <c r="AE36" t="e">
        <f ca="1">SUM(AE31:AE35)</f>
        <v>#DIV/0!</v>
      </c>
      <c r="AF36" t="e">
        <f ca="1">SUM(AF31:AF35)</f>
        <v>#DIV/0!</v>
      </c>
      <c r="AK36">
        <f ca="1">SUM(AK31:AK35)</f>
        <v>0</v>
      </c>
      <c r="AL36">
        <f ca="1">SUM(AL31:AL35)</f>
        <v>0</v>
      </c>
      <c r="AN36">
        <f ca="1">SUM(AN31:AN35)</f>
        <v>0</v>
      </c>
      <c r="AO36" t="e">
        <f ca="1">SUM(AO31:AO35)</f>
        <v>#DIV/0!</v>
      </c>
      <c r="AP36" t="e">
        <f ca="1">SUM(AP31:AP35)</f>
        <v>#DIV/0!</v>
      </c>
    </row>
    <row r="38" spans="1:42" ht="15" thickBot="1" x14ac:dyDescent="0.35">
      <c r="A38" s="1" t="s">
        <v>32</v>
      </c>
      <c r="B38" s="3"/>
      <c r="M38" s="48" t="s">
        <v>64</v>
      </c>
      <c r="N38" s="48"/>
      <c r="O38" s="48"/>
      <c r="P38" s="48"/>
      <c r="Q38" s="48"/>
      <c r="R38" s="48"/>
      <c r="S38" s="48"/>
      <c r="T38" s="48"/>
      <c r="U38" s="48"/>
      <c r="V38" s="48"/>
      <c r="W38" s="60" t="s">
        <v>66</v>
      </c>
      <c r="X38" s="60"/>
      <c r="Y38" s="60"/>
      <c r="Z38" s="60"/>
      <c r="AA38" s="60"/>
      <c r="AB38" s="60"/>
      <c r="AC38" s="60"/>
      <c r="AD38" s="60"/>
      <c r="AE38" s="60"/>
      <c r="AF38" s="60"/>
      <c r="AG38" s="61" t="s">
        <v>67</v>
      </c>
      <c r="AH38" s="61"/>
      <c r="AI38" s="61"/>
      <c r="AJ38" s="61"/>
      <c r="AK38" s="61"/>
      <c r="AL38" s="61"/>
      <c r="AM38" s="61"/>
      <c r="AN38" s="61"/>
      <c r="AO38" s="61"/>
      <c r="AP38" s="61"/>
    </row>
    <row r="39" spans="1:42" ht="15.6" thickTop="1" thickBot="1" x14ac:dyDescent="0.35">
      <c r="A39" s="4" t="s">
        <v>0</v>
      </c>
      <c r="B39" s="4" t="s">
        <v>1</v>
      </c>
      <c r="C39" s="4" t="s">
        <v>2</v>
      </c>
      <c r="D39" s="4" t="s">
        <v>3</v>
      </c>
      <c r="E39" s="5" t="s">
        <v>36</v>
      </c>
      <c r="F39" s="5" t="s">
        <v>37</v>
      </c>
      <c r="G39" s="5" t="s">
        <v>38</v>
      </c>
      <c r="H39" s="5" t="s">
        <v>39</v>
      </c>
      <c r="I39" s="5" t="s">
        <v>40</v>
      </c>
      <c r="J39" s="10" t="s">
        <v>41</v>
      </c>
      <c r="K39" s="9" t="s">
        <v>43</v>
      </c>
      <c r="L39" s="9" t="s">
        <v>42</v>
      </c>
      <c r="M39" s="9" t="s">
        <v>45</v>
      </c>
      <c r="N39" s="9" t="s">
        <v>47</v>
      </c>
      <c r="O39" s="43" t="s">
        <v>85</v>
      </c>
      <c r="P39" s="43" t="s">
        <v>86</v>
      </c>
      <c r="Q39" s="9" t="s">
        <v>60</v>
      </c>
      <c r="R39" s="9" t="s">
        <v>61</v>
      </c>
      <c r="S39" s="9" t="s">
        <v>59</v>
      </c>
      <c r="T39" s="9" t="s">
        <v>55</v>
      </c>
      <c r="U39" s="9" t="s">
        <v>56</v>
      </c>
      <c r="V39" s="9" t="s">
        <v>57</v>
      </c>
      <c r="W39" s="9" t="s">
        <v>45</v>
      </c>
      <c r="X39" s="9" t="s">
        <v>47</v>
      </c>
      <c r="Y39" s="43" t="s">
        <v>85</v>
      </c>
      <c r="Z39" s="43" t="s">
        <v>86</v>
      </c>
      <c r="AA39" s="9" t="s">
        <v>60</v>
      </c>
      <c r="AB39" s="9" t="s">
        <v>61</v>
      </c>
      <c r="AC39" s="9" t="s">
        <v>59</v>
      </c>
      <c r="AD39" s="9" t="s">
        <v>55</v>
      </c>
      <c r="AE39" s="9" t="s">
        <v>56</v>
      </c>
      <c r="AF39" s="9" t="s">
        <v>57</v>
      </c>
      <c r="AG39" s="9" t="s">
        <v>45</v>
      </c>
      <c r="AH39" s="9" t="s">
        <v>47</v>
      </c>
      <c r="AI39" s="43" t="s">
        <v>85</v>
      </c>
      <c r="AJ39" s="43" t="s">
        <v>86</v>
      </c>
      <c r="AK39" s="9" t="s">
        <v>60</v>
      </c>
      <c r="AL39" s="9" t="s">
        <v>61</v>
      </c>
      <c r="AM39" s="9" t="s">
        <v>59</v>
      </c>
      <c r="AN39" s="9" t="s">
        <v>55</v>
      </c>
      <c r="AO39" s="9" t="s">
        <v>56</v>
      </c>
      <c r="AP39" s="9" t="s">
        <v>57</v>
      </c>
    </row>
    <row r="40" spans="1:42" ht="15.6" thickTop="1" thickBot="1" x14ac:dyDescent="0.35">
      <c r="A40" s="6"/>
      <c r="B40" s="6"/>
      <c r="C40" s="6"/>
      <c r="D40" s="6"/>
      <c r="E40" s="7"/>
      <c r="F40" s="7"/>
      <c r="G40" s="7"/>
      <c r="H40" s="7"/>
      <c r="I40" s="8"/>
      <c r="J40" s="11" t="e">
        <f>G40/SUM($G$40:$G$44)</f>
        <v>#DIV/0!</v>
      </c>
      <c r="K40" s="2" t="e">
        <f>C40/SUM($C$40:$C$44)</f>
        <v>#DIV/0!</v>
      </c>
      <c r="L40" s="2" t="e">
        <f>D40/SUM($D$40:$D$44)</f>
        <v>#DIV/0!</v>
      </c>
      <c r="M40" s="2">
        <f ca="1">NORMINV(RAND(),E40+$B$55,$B$51)</f>
        <v>-5.8447659990429557E-2</v>
      </c>
      <c r="N40" s="2">
        <f ca="1">NORMINV(RAND(),F40+$B$56,$B$52)</f>
        <v>-8.0301475443992978E-2</v>
      </c>
      <c r="O40" s="42" t="e">
        <f ca="1">NORMINV(RAND(),$L40,$B$53)</f>
        <v>#DIV/0!</v>
      </c>
      <c r="P40" s="42" t="e">
        <f ca="1">NORMINV(RAND(),$K40,$B$54)</f>
        <v>#DIV/0!</v>
      </c>
      <c r="Q40" s="2">
        <f ca="1">ROUND((1-M40)*G40,0)</f>
        <v>0</v>
      </c>
      <c r="R40" s="2">
        <f ca="1">ROUND(M40*G40,0)</f>
        <v>0</v>
      </c>
      <c r="S40" s="2">
        <f ca="1">ROUND(R40*I40,0)</f>
        <v>0</v>
      </c>
      <c r="T40" s="2">
        <f ca="1">(R40*2)+(S40*3)</f>
        <v>0</v>
      </c>
      <c r="U40" s="2" t="e">
        <f ca="1">ROUND($Q$36*O40,0)</f>
        <v>#DIV/0!</v>
      </c>
      <c r="V40" s="2" t="e">
        <f ca="1">ROUND(R$45*P40*$B$57,0)</f>
        <v>#DIV/0!</v>
      </c>
      <c r="W40" s="2">
        <f ca="1">NORMINV(RAND(),$E40+$B$55,$B$51)</f>
        <v>-0.18341443791795992</v>
      </c>
      <c r="X40" s="2">
        <f ca="1">NORMINV(RAND(),$F40+$B$56,$B$52)</f>
        <v>8.1228921129715729E-4</v>
      </c>
      <c r="Y40" s="42" t="e">
        <f ca="1">NORMINV(RAND(),$L40,$B$53)</f>
        <v>#DIV/0!</v>
      </c>
      <c r="Z40" s="42" t="e">
        <f ca="1">NORMINV(RAND(),$K40,$B$54)</f>
        <v>#DIV/0!</v>
      </c>
      <c r="AA40" s="2">
        <f ca="1">ROUND((1-W40)*$G40*$B$60,0)</f>
        <v>0</v>
      </c>
      <c r="AB40" s="2">
        <f ca="1">ROUND(W40*$G40*$B$60,0)</f>
        <v>0</v>
      </c>
      <c r="AC40" s="2">
        <f ca="1">ROUND(AB40*$I40*$B$60,0)</f>
        <v>0</v>
      </c>
      <c r="AD40" s="2">
        <f ca="1">(AB40*2)+(AC40*3)</f>
        <v>0</v>
      </c>
      <c r="AE40" s="2" t="e">
        <f ca="1">ROUND(AA$36*Y40,0)</f>
        <v>#DIV/0!</v>
      </c>
      <c r="AF40" s="2" t="e">
        <f ca="1">ROUND(AB$36*Z40*$B$57,0)</f>
        <v>#DIV/0!</v>
      </c>
      <c r="AG40" s="2">
        <f ca="1">NORMINV(RAND(),$E40+$B$55,$B$51)</f>
        <v>1.0439989383011436E-3</v>
      </c>
      <c r="AH40" s="2">
        <f ca="1">NORMINV(RAND(),$F40+$B$56,$B$52)</f>
        <v>5.6600812124397021E-3</v>
      </c>
      <c r="AI40" s="42" t="e">
        <f ca="1">NORMINV(RAND(),$L40,$B$53)</f>
        <v>#DIV/0!</v>
      </c>
      <c r="AJ40" s="42" t="e">
        <f ca="1">NORMINV(RAND(),$K40,$B$54)</f>
        <v>#DIV/0!</v>
      </c>
      <c r="AK40" s="2">
        <f ca="1">ROUND((1-AG40)*$G40*$B$60,0)</f>
        <v>0</v>
      </c>
      <c r="AL40" s="2">
        <f ca="1">ROUND(AG40*$G40*$B$60,0)</f>
        <v>0</v>
      </c>
      <c r="AM40" s="2">
        <f ca="1">ROUND(AL40*$I40,0)</f>
        <v>0</v>
      </c>
      <c r="AN40" s="2">
        <f ca="1">(AL40*2)+(AM40*3)</f>
        <v>0</v>
      </c>
      <c r="AO40" s="2" t="e">
        <f ca="1">ROUND($AK$36*$L40,0)</f>
        <v>#DIV/0!</v>
      </c>
      <c r="AP40" s="2" t="e">
        <f ca="1">ROUND($AL$45*$K40*$B$57,0)</f>
        <v>#DIV/0!</v>
      </c>
    </row>
    <row r="41" spans="1:42" ht="15.6" thickTop="1" thickBot="1" x14ac:dyDescent="0.35">
      <c r="A41" s="6"/>
      <c r="B41" s="6"/>
      <c r="C41" s="6"/>
      <c r="D41" s="6"/>
      <c r="E41" s="7"/>
      <c r="F41" s="7"/>
      <c r="G41" s="7"/>
      <c r="H41" s="7"/>
      <c r="I41" s="8"/>
      <c r="J41" s="11" t="e">
        <f t="shared" ref="J41:J44" si="23">G41/SUM($G$40:$G$44)</f>
        <v>#DIV/0!</v>
      </c>
      <c r="K41" s="2" t="e">
        <f t="shared" ref="K41:K44" si="24">C41/SUM($C$40:$C$44)</f>
        <v>#DIV/0!</v>
      </c>
      <c r="L41" s="2" t="e">
        <f t="shared" ref="L41:L44" si="25">D41/SUM($D$40:$D$44)</f>
        <v>#DIV/0!</v>
      </c>
      <c r="M41" s="2">
        <f ca="1">NORMINV(RAND(),E41+$B$55,$B$51)</f>
        <v>3.9287183220425695E-2</v>
      </c>
      <c r="N41" s="2">
        <f ca="1">NORMINV(RAND(),F41+$B$56,$B$52)</f>
        <v>-8.2731465020004252E-2</v>
      </c>
      <c r="O41" s="42" t="e">
        <f t="shared" ref="O41:O44" ca="1" si="26">NORMINV(RAND(),$L41,$B$53)</f>
        <v>#DIV/0!</v>
      </c>
      <c r="P41" s="42" t="e">
        <f t="shared" ref="P41:P44" ca="1" si="27">NORMINV(RAND(),$K41,$B$54)</f>
        <v>#DIV/0!</v>
      </c>
      <c r="Q41" s="2">
        <f ca="1">ROUND((1-M41)*G41,0)</f>
        <v>0</v>
      </c>
      <c r="R41" s="2">
        <f ca="1">ROUND(M41*G41,0)</f>
        <v>0</v>
      </c>
      <c r="S41" s="2">
        <f ca="1">ROUND(R41*I41,0)</f>
        <v>0</v>
      </c>
      <c r="T41" s="2">
        <f t="shared" ref="T41:T44" ca="1" si="28">(R41*2)+(S41*3)</f>
        <v>0</v>
      </c>
      <c r="U41" s="2" t="e">
        <f t="shared" ref="U41:U44" ca="1" si="29">ROUND($Q$36*O41,0)</f>
        <v>#DIV/0!</v>
      </c>
      <c r="V41" s="2" t="e">
        <f t="shared" ref="V41:V44" ca="1" si="30">ROUND(R$45*P41*$B$57,0)</f>
        <v>#DIV/0!</v>
      </c>
      <c r="W41" s="2">
        <f ca="1">NORMINV(RAND(),$E41+$B$55,$B$51)</f>
        <v>-1.0462878077255162E-2</v>
      </c>
      <c r="X41" s="2">
        <f ca="1">NORMINV(RAND(),$F41+$B$56,$B$52)</f>
        <v>-0.10664788319636803</v>
      </c>
      <c r="Y41" s="42" t="e">
        <f t="shared" ref="Y41:Y44" ca="1" si="31">NORMINV(RAND(),$L41,$B$53)</f>
        <v>#DIV/0!</v>
      </c>
      <c r="Z41" s="42" t="e">
        <f t="shared" ref="Z41:Z44" ca="1" si="32">NORMINV(RAND(),$K41,$B$54)</f>
        <v>#DIV/0!</v>
      </c>
      <c r="AA41" s="2">
        <f ca="1">ROUND((1-W41)*$G41*$B$60,0)</f>
        <v>0</v>
      </c>
      <c r="AB41" s="2">
        <f ca="1">ROUND(W41*$G41*$B$60,0)</f>
        <v>0</v>
      </c>
      <c r="AC41" s="2">
        <f ca="1">ROUND(AB41*$I41*$B$60,0)</f>
        <v>0</v>
      </c>
      <c r="AD41" s="2">
        <f t="shared" ref="AD41:AD44" ca="1" si="33">(AB41*2)+(AC41*3)</f>
        <v>0</v>
      </c>
      <c r="AE41" s="2" t="e">
        <f t="shared" ref="AE41:AE44" ca="1" si="34">ROUND(AA$36*Y41,0)</f>
        <v>#DIV/0!</v>
      </c>
      <c r="AF41" s="2" t="e">
        <f t="shared" ref="AF41:AF44" ca="1" si="35">ROUND(AB$36*Z41*$B$57,0)</f>
        <v>#DIV/0!</v>
      </c>
      <c r="AG41" s="2">
        <f ca="1">NORMINV(RAND(),$E41+$B$55,$B$51)</f>
        <v>-8.7728719779099129E-2</v>
      </c>
      <c r="AH41" s="2">
        <f ca="1">NORMINV(RAND(),$F41+$B$56,$B$52)</f>
        <v>-9.7168672939239975E-2</v>
      </c>
      <c r="AI41" s="42" t="e">
        <f t="shared" ref="AI41:AI44" ca="1" si="36">NORMINV(RAND(),$L41,$B$53)</f>
        <v>#DIV/0!</v>
      </c>
      <c r="AJ41" s="42" t="e">
        <f t="shared" ref="AJ41:AJ44" ca="1" si="37">NORMINV(RAND(),$K41,$B$54)</f>
        <v>#DIV/0!</v>
      </c>
      <c r="AK41" s="2">
        <f ca="1">ROUND((1-AG41)*$G41*$B$60,0)</f>
        <v>0</v>
      </c>
      <c r="AL41" s="2">
        <f ca="1">ROUND(AG41*$G41*$B$60,0)</f>
        <v>0</v>
      </c>
      <c r="AM41" s="2">
        <f t="shared" ref="AM41:AM44" ca="1" si="38">ROUND(AL41*$I41,0)</f>
        <v>0</v>
      </c>
      <c r="AN41" s="2">
        <f t="shared" ref="AN41:AN44" ca="1" si="39">(AL41*2)+(AM41*3)</f>
        <v>0</v>
      </c>
      <c r="AO41" s="2" t="e">
        <f t="shared" ref="AO41:AO44" ca="1" si="40">ROUND($AK$36*$L41,0)</f>
        <v>#DIV/0!</v>
      </c>
      <c r="AP41" s="2" t="e">
        <f ca="1">ROUND($AL$45*$K41*$B$57,0)</f>
        <v>#DIV/0!</v>
      </c>
    </row>
    <row r="42" spans="1:42" ht="15.6" thickTop="1" thickBot="1" x14ac:dyDescent="0.35">
      <c r="A42" s="6"/>
      <c r="B42" s="6"/>
      <c r="C42" s="6"/>
      <c r="D42" s="6"/>
      <c r="E42" s="7"/>
      <c r="F42" s="7"/>
      <c r="G42" s="7"/>
      <c r="H42" s="7"/>
      <c r="I42" s="8"/>
      <c r="J42" s="11" t="e">
        <f t="shared" si="23"/>
        <v>#DIV/0!</v>
      </c>
      <c r="K42" s="2" t="e">
        <f t="shared" si="24"/>
        <v>#DIV/0!</v>
      </c>
      <c r="L42" s="2" t="e">
        <f t="shared" si="25"/>
        <v>#DIV/0!</v>
      </c>
      <c r="M42" s="2">
        <f ca="1">NORMINV(RAND(),E42+$B$55,$B$51)</f>
        <v>8.184317586831141E-3</v>
      </c>
      <c r="N42" s="2">
        <f ca="1">NORMINV(RAND(),F42+$B$56,$B$52)</f>
        <v>2.8183723564556576E-2</v>
      </c>
      <c r="O42" s="42" t="e">
        <f t="shared" ca="1" si="26"/>
        <v>#DIV/0!</v>
      </c>
      <c r="P42" s="42" t="e">
        <f t="shared" ca="1" si="27"/>
        <v>#DIV/0!</v>
      </c>
      <c r="Q42" s="2">
        <f ca="1">ROUND((1-M42)*G42,0)</f>
        <v>0</v>
      </c>
      <c r="R42" s="2">
        <f ca="1">ROUND(M42*G42,0)</f>
        <v>0</v>
      </c>
      <c r="S42" s="2">
        <f ca="1">ROUND(R42*I42,0)</f>
        <v>0</v>
      </c>
      <c r="T42" s="2">
        <f t="shared" ca="1" si="28"/>
        <v>0</v>
      </c>
      <c r="U42" s="2" t="e">
        <f t="shared" ca="1" si="29"/>
        <v>#DIV/0!</v>
      </c>
      <c r="V42" s="2" t="e">
        <f t="shared" ca="1" si="30"/>
        <v>#DIV/0!</v>
      </c>
      <c r="W42" s="2">
        <f ca="1">NORMINV(RAND(),$E42+$B$55,$B$51)</f>
        <v>7.5160645802479192E-2</v>
      </c>
      <c r="X42" s="2">
        <f ca="1">NORMINV(RAND(),$F42+$B$56,$B$52)</f>
        <v>-6.9739233411462903E-2</v>
      </c>
      <c r="Y42" s="42" t="e">
        <f t="shared" ca="1" si="31"/>
        <v>#DIV/0!</v>
      </c>
      <c r="Z42" s="42" t="e">
        <f t="shared" ca="1" si="32"/>
        <v>#DIV/0!</v>
      </c>
      <c r="AA42" s="2">
        <f ca="1">ROUND((1-W42)*$G42*$B$60,0)</f>
        <v>0</v>
      </c>
      <c r="AB42" s="2">
        <f ca="1">ROUND(W42*$G42*$B$60,0)</f>
        <v>0</v>
      </c>
      <c r="AC42" s="2">
        <f ca="1">ROUND(AB42*$I42*$B$60,0)</f>
        <v>0</v>
      </c>
      <c r="AD42" s="2">
        <f t="shared" ca="1" si="33"/>
        <v>0</v>
      </c>
      <c r="AE42" s="2" t="e">
        <f t="shared" ca="1" si="34"/>
        <v>#DIV/0!</v>
      </c>
      <c r="AF42" s="2" t="e">
        <f t="shared" ca="1" si="35"/>
        <v>#DIV/0!</v>
      </c>
      <c r="AG42" s="2">
        <f ca="1">NORMINV(RAND(),$E42+$B$55,$B$51)</f>
        <v>1.5325161847980606E-2</v>
      </c>
      <c r="AH42" s="2">
        <f ca="1">NORMINV(RAND(),$F42+$B$56,$B$52)</f>
        <v>3.4545943985359311E-2</v>
      </c>
      <c r="AI42" s="42" t="e">
        <f t="shared" ca="1" si="36"/>
        <v>#DIV/0!</v>
      </c>
      <c r="AJ42" s="42" t="e">
        <f t="shared" ca="1" si="37"/>
        <v>#DIV/0!</v>
      </c>
      <c r="AK42" s="2">
        <f ca="1">ROUND((1-AG42)*$G42*$B$60,0)</f>
        <v>0</v>
      </c>
      <c r="AL42" s="2">
        <f ca="1">ROUND(AG42*$G42*$B$60,0)</f>
        <v>0</v>
      </c>
      <c r="AM42" s="2">
        <f t="shared" ca="1" si="38"/>
        <v>0</v>
      </c>
      <c r="AN42" s="2">
        <f t="shared" ca="1" si="39"/>
        <v>0</v>
      </c>
      <c r="AO42" s="2" t="e">
        <f t="shared" ca="1" si="40"/>
        <v>#DIV/0!</v>
      </c>
      <c r="AP42" s="2" t="e">
        <f ca="1">ROUND($AL$45*$K42*$B$57,0)</f>
        <v>#DIV/0!</v>
      </c>
    </row>
    <row r="43" spans="1:42" ht="15.6" thickTop="1" thickBot="1" x14ac:dyDescent="0.35">
      <c r="A43" s="6"/>
      <c r="B43" s="6"/>
      <c r="C43" s="6"/>
      <c r="D43" s="6"/>
      <c r="E43" s="7"/>
      <c r="F43" s="7"/>
      <c r="G43" s="7"/>
      <c r="H43" s="7"/>
      <c r="I43" s="8"/>
      <c r="J43" s="11" t="e">
        <f t="shared" si="23"/>
        <v>#DIV/0!</v>
      </c>
      <c r="K43" s="2" t="e">
        <f t="shared" si="24"/>
        <v>#DIV/0!</v>
      </c>
      <c r="L43" s="2" t="e">
        <f t="shared" si="25"/>
        <v>#DIV/0!</v>
      </c>
      <c r="M43" s="2">
        <f ca="1">NORMINV(RAND(),E43+$B$55,$B$51)</f>
        <v>7.5952350162289878E-2</v>
      </c>
      <c r="N43" s="2">
        <f ca="1">NORMINV(RAND(),F43+$B$56,$B$52)</f>
        <v>1.0500925755662907E-3</v>
      </c>
      <c r="O43" s="42" t="e">
        <f t="shared" ca="1" si="26"/>
        <v>#DIV/0!</v>
      </c>
      <c r="P43" s="42" t="e">
        <f t="shared" ca="1" si="27"/>
        <v>#DIV/0!</v>
      </c>
      <c r="Q43" s="2">
        <f ca="1">ROUND((1-M43)*G43,0)</f>
        <v>0</v>
      </c>
      <c r="R43" s="2">
        <f ca="1">ROUND(M43*G43,0)</f>
        <v>0</v>
      </c>
      <c r="S43" s="2">
        <f ca="1">ROUND(R43*I43,0)</f>
        <v>0</v>
      </c>
      <c r="T43" s="2">
        <f t="shared" ca="1" si="28"/>
        <v>0</v>
      </c>
      <c r="U43" s="2" t="e">
        <f t="shared" ca="1" si="29"/>
        <v>#DIV/0!</v>
      </c>
      <c r="V43" s="2" t="e">
        <f t="shared" ca="1" si="30"/>
        <v>#DIV/0!</v>
      </c>
      <c r="W43" s="2">
        <f ca="1">NORMINV(RAND(),$E43+$B$55,$B$51)</f>
        <v>-1.1074759155374517E-2</v>
      </c>
      <c r="X43" s="2">
        <f ca="1">NORMINV(RAND(),$F43+$B$56,$B$52)</f>
        <v>-6.6454185914602545E-2</v>
      </c>
      <c r="Y43" s="42" t="e">
        <f t="shared" ca="1" si="31"/>
        <v>#DIV/0!</v>
      </c>
      <c r="Z43" s="42" t="e">
        <f t="shared" ca="1" si="32"/>
        <v>#DIV/0!</v>
      </c>
      <c r="AA43" s="2">
        <f ca="1">ROUND((1-W43)*$G43*$B$60,0)</f>
        <v>0</v>
      </c>
      <c r="AB43" s="2">
        <f ca="1">ROUND(W43*$G43*$B$60,0)</f>
        <v>0</v>
      </c>
      <c r="AC43" s="2">
        <f ca="1">ROUND(AB43*$I43*$B$60,0)</f>
        <v>0</v>
      </c>
      <c r="AD43" s="2">
        <f t="shared" ca="1" si="33"/>
        <v>0</v>
      </c>
      <c r="AE43" s="2" t="e">
        <f t="shared" ca="1" si="34"/>
        <v>#DIV/0!</v>
      </c>
      <c r="AF43" s="2" t="e">
        <f t="shared" ca="1" si="35"/>
        <v>#DIV/0!</v>
      </c>
      <c r="AG43" s="2">
        <f ca="1">NORMINV(RAND(),$E43+$B$55,$B$51)</f>
        <v>0.12859087683422735</v>
      </c>
      <c r="AH43" s="2">
        <f ca="1">NORMINV(RAND(),$F43+$B$56,$B$52)</f>
        <v>5.2244267536552404E-2</v>
      </c>
      <c r="AI43" s="42" t="e">
        <f t="shared" ca="1" si="36"/>
        <v>#DIV/0!</v>
      </c>
      <c r="AJ43" s="42" t="e">
        <f t="shared" ca="1" si="37"/>
        <v>#DIV/0!</v>
      </c>
      <c r="AK43" s="2">
        <f ca="1">ROUND((1-AG43)*$G43*$B$60,0)</f>
        <v>0</v>
      </c>
      <c r="AL43" s="2">
        <f ca="1">ROUND(AG43*$G43*$B$60,0)</f>
        <v>0</v>
      </c>
      <c r="AM43" s="2">
        <f t="shared" ca="1" si="38"/>
        <v>0</v>
      </c>
      <c r="AN43" s="2">
        <f t="shared" ca="1" si="39"/>
        <v>0</v>
      </c>
      <c r="AO43" s="2" t="e">
        <f ca="1">ROUND($AK$36*$L43,0)</f>
        <v>#DIV/0!</v>
      </c>
      <c r="AP43" s="2" t="e">
        <f t="shared" ref="AP43:AP44" ca="1" si="41">ROUND($AL$45*$K43*$B$57,0)</f>
        <v>#DIV/0!</v>
      </c>
    </row>
    <row r="44" spans="1:42" ht="15.6" thickTop="1" thickBot="1" x14ac:dyDescent="0.35">
      <c r="A44" s="6"/>
      <c r="B44" s="6"/>
      <c r="C44" s="6"/>
      <c r="D44" s="6"/>
      <c r="E44" s="7"/>
      <c r="F44" s="7"/>
      <c r="G44" s="7"/>
      <c r="H44" s="7"/>
      <c r="I44" s="8"/>
      <c r="J44" s="11" t="e">
        <f t="shared" si="23"/>
        <v>#DIV/0!</v>
      </c>
      <c r="K44" s="2" t="e">
        <f t="shared" si="24"/>
        <v>#DIV/0!</v>
      </c>
      <c r="L44" s="2" t="e">
        <f t="shared" si="25"/>
        <v>#DIV/0!</v>
      </c>
      <c r="M44" s="2">
        <f ca="1">NORMINV(RAND(),E44+$B$55,$B$51)</f>
        <v>4.2367962877568948E-3</v>
      </c>
      <c r="N44" s="2">
        <f ca="1">NORMINV(RAND(),F44+$B$56,$B$52)</f>
        <v>4.3915979807250101E-2</v>
      </c>
      <c r="O44" s="42" t="e">
        <f t="shared" ca="1" si="26"/>
        <v>#DIV/0!</v>
      </c>
      <c r="P44" s="42" t="e">
        <f t="shared" ca="1" si="27"/>
        <v>#DIV/0!</v>
      </c>
      <c r="Q44" s="2">
        <f ca="1">ROUND((1-M44)*G44,0)</f>
        <v>0</v>
      </c>
      <c r="R44" s="2">
        <f ca="1">ROUND(M44*G44,0)</f>
        <v>0</v>
      </c>
      <c r="S44" s="2">
        <f ca="1">ROUND(R44*I44,0)</f>
        <v>0</v>
      </c>
      <c r="T44" s="2">
        <f t="shared" ca="1" si="28"/>
        <v>0</v>
      </c>
      <c r="U44" s="2" t="e">
        <f t="shared" ca="1" si="29"/>
        <v>#DIV/0!</v>
      </c>
      <c r="V44" s="2" t="e">
        <f t="shared" ca="1" si="30"/>
        <v>#DIV/0!</v>
      </c>
      <c r="W44" s="2">
        <f ca="1">NORMINV(RAND(),$E44+$B$55,$B$51)</f>
        <v>-4.3431516847574608E-3</v>
      </c>
      <c r="X44" s="2">
        <f ca="1">NORMINV(RAND(),$F44+$B$56,$B$52)</f>
        <v>-2.2099431305069896E-2</v>
      </c>
      <c r="Y44" s="42" t="e">
        <f t="shared" ca="1" si="31"/>
        <v>#DIV/0!</v>
      </c>
      <c r="Z44" s="42" t="e">
        <f t="shared" ca="1" si="32"/>
        <v>#DIV/0!</v>
      </c>
      <c r="AA44" s="2">
        <f ca="1">ROUND((1-W44)*$G44*$B$60,0)</f>
        <v>0</v>
      </c>
      <c r="AB44" s="2">
        <f ca="1">ROUND(W44*$G44*$B$60,0)</f>
        <v>0</v>
      </c>
      <c r="AC44" s="2">
        <f ca="1">ROUND(AB44*$I44*$B$60,0)</f>
        <v>0</v>
      </c>
      <c r="AD44" s="2">
        <f t="shared" ca="1" si="33"/>
        <v>0</v>
      </c>
      <c r="AE44" s="2" t="e">
        <f t="shared" ca="1" si="34"/>
        <v>#DIV/0!</v>
      </c>
      <c r="AF44" s="2" t="e">
        <f t="shared" ca="1" si="35"/>
        <v>#DIV/0!</v>
      </c>
      <c r="AG44" s="2">
        <f ca="1">NORMINV(RAND(),$E44+$B$55,$B$51)</f>
        <v>2.963220895589946E-2</v>
      </c>
      <c r="AH44" s="2">
        <f ca="1">NORMINV(RAND(),$F44+$B$56,$B$52)</f>
        <v>8.3646017934223535E-2</v>
      </c>
      <c r="AI44" s="42" t="e">
        <f t="shared" ca="1" si="36"/>
        <v>#DIV/0!</v>
      </c>
      <c r="AJ44" s="42" t="e">
        <f t="shared" ca="1" si="37"/>
        <v>#DIV/0!</v>
      </c>
      <c r="AK44" s="2">
        <f ca="1">ROUND((1-AG44)*$G44*$B$60,0)</f>
        <v>0</v>
      </c>
      <c r="AL44" s="2">
        <f ca="1">ROUND(AG44*$G44*$B$60,0)</f>
        <v>0</v>
      </c>
      <c r="AM44" s="2">
        <f t="shared" ca="1" si="38"/>
        <v>0</v>
      </c>
      <c r="AN44" s="2">
        <f t="shared" ca="1" si="39"/>
        <v>0</v>
      </c>
      <c r="AO44" s="2" t="e">
        <f t="shared" ca="1" si="40"/>
        <v>#DIV/0!</v>
      </c>
      <c r="AP44" s="2" t="e">
        <f t="shared" ca="1" si="41"/>
        <v>#DIV/0!</v>
      </c>
    </row>
    <row r="45" spans="1:42" ht="15" thickTop="1" x14ac:dyDescent="0.3">
      <c r="J45" t="e">
        <f>SUM(J40:J44)</f>
        <v>#DIV/0!</v>
      </c>
      <c r="K45" t="e">
        <f t="shared" ref="K45:L45" si="42">SUM(K40:K44)</f>
        <v>#DIV/0!</v>
      </c>
      <c r="L45" t="e">
        <f t="shared" si="42"/>
        <v>#DIV/0!</v>
      </c>
      <c r="Q45">
        <f ca="1">SUM(Q40:Q44)</f>
        <v>0</v>
      </c>
      <c r="R45">
        <f ca="1">SUM(R40:R44)</f>
        <v>0</v>
      </c>
      <c r="T45">
        <f ca="1">SUM(T40:T44)</f>
        <v>0</v>
      </c>
      <c r="U45" t="e">
        <f ca="1">SUM(U40:U44)</f>
        <v>#DIV/0!</v>
      </c>
      <c r="V45" t="e">
        <f ca="1">SUM(V40:V44)</f>
        <v>#DIV/0!</v>
      </c>
      <c r="AA45">
        <f ca="1">SUM(AA40:AA44)</f>
        <v>0</v>
      </c>
      <c r="AB45">
        <f ca="1">SUM(AB40:AB44)</f>
        <v>0</v>
      </c>
      <c r="AD45">
        <f ca="1">SUM(AD40:AD44)</f>
        <v>0</v>
      </c>
      <c r="AE45" t="e">
        <f ca="1">SUM(AE40:AE44)</f>
        <v>#DIV/0!</v>
      </c>
      <c r="AF45" t="e">
        <f ca="1">SUM(AF40:AF44)</f>
        <v>#DIV/0!</v>
      </c>
      <c r="AK45">
        <f ca="1">SUM(AK40:AK44)</f>
        <v>0</v>
      </c>
      <c r="AL45">
        <f ca="1">SUM(AL40:AL44)</f>
        <v>0</v>
      </c>
      <c r="AN45">
        <f ca="1">SUM(AN40:AN44)</f>
        <v>0</v>
      </c>
      <c r="AO45" t="e">
        <f ca="1">SUM(AO40:AO44)</f>
        <v>#DIV/0!</v>
      </c>
      <c r="AP45" t="e">
        <f ca="1">SUM(AP40:AP44)</f>
        <v>#DIV/0!</v>
      </c>
    </row>
    <row r="46" spans="1:42" ht="15" thickBot="1" x14ac:dyDescent="0.35"/>
    <row r="47" spans="1:42" x14ac:dyDescent="0.3">
      <c r="A47" s="48" t="s">
        <v>33</v>
      </c>
      <c r="B47" s="48"/>
      <c r="P47" s="48" t="s">
        <v>75</v>
      </c>
      <c r="Q47" s="48"/>
      <c r="R47" s="48"/>
      <c r="S47" s="48"/>
      <c r="T47" s="48"/>
      <c r="V47" s="62" t="s">
        <v>87</v>
      </c>
      <c r="W47" s="63"/>
      <c r="X47" s="63"/>
      <c r="Y47" s="64"/>
    </row>
    <row r="48" spans="1:42" x14ac:dyDescent="0.3">
      <c r="A48" s="20" t="s">
        <v>34</v>
      </c>
      <c r="B48" s="20">
        <v>4</v>
      </c>
      <c r="P48" s="65" t="s">
        <v>65</v>
      </c>
      <c r="Q48" s="65"/>
      <c r="R48" s="14"/>
      <c r="S48" s="65" t="s">
        <v>49</v>
      </c>
      <c r="T48" s="65"/>
      <c r="V48" s="44" t="s">
        <v>30</v>
      </c>
      <c r="W48" s="45" t="s">
        <v>55</v>
      </c>
      <c r="X48" s="45" t="s">
        <v>56</v>
      </c>
      <c r="Y48" s="46" t="s">
        <v>57</v>
      </c>
    </row>
    <row r="49" spans="1:25" x14ac:dyDescent="0.3">
      <c r="A49" s="20" t="s">
        <v>35</v>
      </c>
      <c r="B49" s="20">
        <v>12</v>
      </c>
      <c r="P49" s="2" t="s">
        <v>30</v>
      </c>
      <c r="Q49" s="2">
        <f ca="1">$T$36</f>
        <v>0</v>
      </c>
      <c r="S49" s="2" t="s">
        <v>30</v>
      </c>
      <c r="T49" s="2" t="b">
        <f ca="1">IF($Q$49&lt;&gt;$Q$50,Q49,IF($Q$53&lt;&gt;$Q$54,Q49+Q53,IF($Q$57&lt;&gt;$Q$58,Q49+Q53+Q57)))</f>
        <v>0</v>
      </c>
      <c r="V49" s="26">
        <f>A31</f>
        <v>0</v>
      </c>
      <c r="W49" s="2">
        <f ca="1">IF($T$51="Regulation",T31,IF($T$51="OT",T31+AD31,IF($T$51="2OT",T31+AD31+AN31)))</f>
        <v>0</v>
      </c>
      <c r="X49" s="2" t="e">
        <f t="shared" ref="X49:Y53" ca="1" si="43">IF($T$51="Regulation",U31,IF($T$51="OT",U31+AE31,IF($T$51="2OT",U31+AE31+AO31)))</f>
        <v>#DIV/0!</v>
      </c>
      <c r="Y49" s="27" t="e">
        <f t="shared" ca="1" si="43"/>
        <v>#DIV/0!</v>
      </c>
    </row>
    <row r="50" spans="1:25" x14ac:dyDescent="0.3">
      <c r="A50" s="20" t="s">
        <v>44</v>
      </c>
      <c r="B50" s="20">
        <v>5</v>
      </c>
      <c r="P50" s="2" t="s">
        <v>50</v>
      </c>
      <c r="Q50" s="2">
        <f ca="1">$T$45</f>
        <v>0</v>
      </c>
      <c r="S50" s="2" t="s">
        <v>50</v>
      </c>
      <c r="T50" s="2" t="b">
        <f ca="1">IF($Q$49&lt;&gt;$Q$50,Q50,IF($Q$53&lt;&gt;$Q$54,Q50+Q54,IF($Q$57&lt;&gt;$Q$58,Q50+Q54+Q58)))</f>
        <v>0</v>
      </c>
      <c r="V50" s="26">
        <f>A32</f>
        <v>0</v>
      </c>
      <c r="W50" s="2">
        <f t="shared" ref="W50:W52" ca="1" si="44">IF($T$51="Regulation",T32,IF($T$51="OT",T32+AD32,IF($T$51="2OT",T32+AD32+AN32)))</f>
        <v>0</v>
      </c>
      <c r="X50" s="2" t="e">
        <f t="shared" ca="1" si="43"/>
        <v>#DIV/0!</v>
      </c>
      <c r="Y50" s="27" t="e">
        <f t="shared" ca="1" si="43"/>
        <v>#DIV/0!</v>
      </c>
    </row>
    <row r="51" spans="1:25" x14ac:dyDescent="0.3">
      <c r="A51" s="2" t="s">
        <v>46</v>
      </c>
      <c r="B51" s="13">
        <v>0.1</v>
      </c>
      <c r="P51" s="15"/>
      <c r="S51" s="2" t="s">
        <v>76</v>
      </c>
      <c r="T51" s="2" t="str">
        <f ca="1">IF(AND(Q49=Q50,Q53=Q54),"2OT",IF(AND(Q49=Q50),"OT","Regulation"))</f>
        <v>2OT</v>
      </c>
      <c r="V51" s="26">
        <f>A33</f>
        <v>0</v>
      </c>
      <c r="W51" s="2">
        <f t="shared" ca="1" si="44"/>
        <v>0</v>
      </c>
      <c r="X51" s="2" t="e">
        <f t="shared" ca="1" si="43"/>
        <v>#DIV/0!</v>
      </c>
      <c r="Y51" s="27" t="e">
        <f t="shared" ca="1" si="43"/>
        <v>#DIV/0!</v>
      </c>
    </row>
    <row r="52" spans="1:25" x14ac:dyDescent="0.3">
      <c r="A52" s="2" t="s">
        <v>48</v>
      </c>
      <c r="B52" s="13">
        <v>0.05</v>
      </c>
      <c r="P52" s="65" t="s">
        <v>51</v>
      </c>
      <c r="Q52" s="65"/>
      <c r="T52" s="17"/>
      <c r="V52" s="26">
        <f>A34</f>
        <v>0</v>
      </c>
      <c r="W52" s="2">
        <f t="shared" ca="1" si="44"/>
        <v>0</v>
      </c>
      <c r="X52" s="2" t="e">
        <f t="shared" ca="1" si="43"/>
        <v>#DIV/0!</v>
      </c>
      <c r="Y52" s="27" t="e">
        <f t="shared" ca="1" si="43"/>
        <v>#DIV/0!</v>
      </c>
    </row>
    <row r="53" spans="1:25" x14ac:dyDescent="0.3">
      <c r="A53" s="2" t="s">
        <v>88</v>
      </c>
      <c r="B53" s="13">
        <v>0.06</v>
      </c>
      <c r="P53" s="2" t="s">
        <v>30</v>
      </c>
      <c r="Q53" s="2">
        <f ca="1">$AD$36</f>
        <v>0</v>
      </c>
      <c r="T53" s="17"/>
      <c r="V53" s="26">
        <f>A35</f>
        <v>0</v>
      </c>
      <c r="W53" s="2">
        <f ca="1">IF($T$51="Regulation",T35,IF($T$51="OT",T35+AD35,IF($T$51="2OT",T35+AD35+AN35)))</f>
        <v>0</v>
      </c>
      <c r="X53" s="2" t="e">
        <f t="shared" ca="1" si="43"/>
        <v>#DIV/0!</v>
      </c>
      <c r="Y53" s="27" t="e">
        <f t="shared" ca="1" si="43"/>
        <v>#DIV/0!</v>
      </c>
    </row>
    <row r="54" spans="1:25" x14ac:dyDescent="0.3">
      <c r="A54" s="2" t="s">
        <v>89</v>
      </c>
      <c r="B54" s="13">
        <v>0.04</v>
      </c>
      <c r="P54" s="2" t="s">
        <v>50</v>
      </c>
      <c r="Q54" s="2">
        <f ca="1">$AD$45</f>
        <v>0</v>
      </c>
      <c r="T54" s="17"/>
      <c r="V54" s="44" t="s">
        <v>50</v>
      </c>
      <c r="W54" s="45" t="s">
        <v>55</v>
      </c>
      <c r="X54" s="45" t="s">
        <v>56</v>
      </c>
      <c r="Y54" s="46" t="s">
        <v>57</v>
      </c>
    </row>
    <row r="55" spans="1:25" x14ac:dyDescent="0.3">
      <c r="A55" s="2" t="s">
        <v>53</v>
      </c>
      <c r="B55" s="13">
        <v>0</v>
      </c>
      <c r="P55" s="15"/>
      <c r="T55" s="17"/>
      <c r="V55" s="26">
        <f>A40</f>
        <v>0</v>
      </c>
      <c r="W55" s="2">
        <f ca="1">IF($T$51="Regulation",T40,IF($T$51="OT",T40+AD40,IF($T$51="2OT",T40+AD40+AN40)))</f>
        <v>0</v>
      </c>
      <c r="X55" s="2" t="e">
        <f t="shared" ref="X55:Y59" ca="1" si="45">IF($T$51="Regulation",U40,IF($T$51="OT",U40+AE40,IF($T$51="2OT",U40+AE40+AO40)))</f>
        <v>#DIV/0!</v>
      </c>
      <c r="Y55" s="27" t="e">
        <f t="shared" ca="1" si="45"/>
        <v>#DIV/0!</v>
      </c>
    </row>
    <row r="56" spans="1:25" x14ac:dyDescent="0.3">
      <c r="A56" s="2" t="s">
        <v>54</v>
      </c>
      <c r="B56" s="13">
        <v>0</v>
      </c>
      <c r="P56" s="65" t="s">
        <v>68</v>
      </c>
      <c r="Q56" s="65"/>
      <c r="T56" s="17"/>
      <c r="V56" s="26">
        <f>A41</f>
        <v>0</v>
      </c>
      <c r="W56" s="2">
        <f t="shared" ref="W56:W59" ca="1" si="46">IF($T$51="Regulation",T41,IF($T$51="OT",T41+AD41,IF($T$51="2OT",T41+AD41+AN41)))</f>
        <v>0</v>
      </c>
      <c r="X56" s="2" t="e">
        <f t="shared" ca="1" si="45"/>
        <v>#DIV/0!</v>
      </c>
      <c r="Y56" s="27" t="e">
        <f t="shared" ca="1" si="45"/>
        <v>#DIV/0!</v>
      </c>
    </row>
    <row r="57" spans="1:25" x14ac:dyDescent="0.3">
      <c r="A57" s="2" t="s">
        <v>58</v>
      </c>
      <c r="B57" s="13">
        <v>0.7</v>
      </c>
      <c r="P57" s="2" t="s">
        <v>30</v>
      </c>
      <c r="Q57" s="2">
        <f ca="1">$AN$36</f>
        <v>0</v>
      </c>
      <c r="T57" s="17"/>
      <c r="V57" s="26">
        <f>A42</f>
        <v>0</v>
      </c>
      <c r="W57" s="2">
        <f t="shared" ca="1" si="46"/>
        <v>0</v>
      </c>
      <c r="X57" s="2" t="e">
        <f t="shared" ca="1" si="45"/>
        <v>#DIV/0!</v>
      </c>
      <c r="Y57" s="27" t="e">
        <f t="shared" ca="1" si="45"/>
        <v>#DIV/0!</v>
      </c>
    </row>
    <row r="58" spans="1:25" x14ac:dyDescent="0.3">
      <c r="A58" s="2" t="s">
        <v>62</v>
      </c>
      <c r="B58" s="13">
        <v>0.15</v>
      </c>
      <c r="P58" s="2" t="s">
        <v>50</v>
      </c>
      <c r="Q58" s="2">
        <f ca="1">AN45</f>
        <v>0</v>
      </c>
      <c r="R58" s="18"/>
      <c r="S58" s="18"/>
      <c r="T58" s="19"/>
      <c r="V58" s="26">
        <f>A43</f>
        <v>0</v>
      </c>
      <c r="W58" s="2">
        <f t="shared" ca="1" si="46"/>
        <v>0</v>
      </c>
      <c r="X58" s="2" t="e">
        <f t="shared" ca="1" si="45"/>
        <v>#DIV/0!</v>
      </c>
      <c r="Y58" s="27" t="e">
        <f t="shared" ca="1" si="45"/>
        <v>#DIV/0!</v>
      </c>
    </row>
    <row r="59" spans="1:25" ht="15" thickBot="1" x14ac:dyDescent="0.35">
      <c r="A59" s="2" t="s">
        <v>63</v>
      </c>
      <c r="B59" s="13">
        <v>0.08</v>
      </c>
      <c r="V59" s="28">
        <f>A44</f>
        <v>0</v>
      </c>
      <c r="W59" s="29">
        <f t="shared" ca="1" si="46"/>
        <v>0</v>
      </c>
      <c r="X59" s="29" t="e">
        <f t="shared" ca="1" si="45"/>
        <v>#DIV/0!</v>
      </c>
      <c r="Y59" s="30" t="e">
        <f t="shared" ca="1" si="45"/>
        <v>#DIV/0!</v>
      </c>
    </row>
    <row r="60" spans="1:25" x14ac:dyDescent="0.3">
      <c r="A60" s="2" t="s">
        <v>52</v>
      </c>
      <c r="B60" s="13">
        <v>0.15</v>
      </c>
    </row>
  </sheetData>
  <mergeCells count="21">
    <mergeCell ref="P48:Q48"/>
    <mergeCell ref="P52:Q52"/>
    <mergeCell ref="P56:Q56"/>
    <mergeCell ref="P47:T47"/>
    <mergeCell ref="S48:T48"/>
    <mergeCell ref="M29:V29"/>
    <mergeCell ref="M38:V38"/>
    <mergeCell ref="A47:B47"/>
    <mergeCell ref="W29:AF29"/>
    <mergeCell ref="AG29:AP29"/>
    <mergeCell ref="W38:AF38"/>
    <mergeCell ref="AG38:AP38"/>
    <mergeCell ref="V47:Y47"/>
    <mergeCell ref="A1:I1"/>
    <mergeCell ref="K20:N20"/>
    <mergeCell ref="P20:S20"/>
    <mergeCell ref="K18:K19"/>
    <mergeCell ref="P18:P19"/>
    <mergeCell ref="L18:L19"/>
    <mergeCell ref="Q18:Q19"/>
    <mergeCell ref="K16:S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CalculateNow">
                <anchor moveWithCells="1" sizeWithCells="1">
                  <from>
                    <xdr:col>13</xdr:col>
                    <xdr:colOff>312420</xdr:colOff>
                    <xdr:row>12</xdr:row>
                    <xdr:rowOff>160020</xdr:rowOff>
                  </from>
                  <to>
                    <xdr:col>15</xdr:col>
                    <xdr:colOff>251460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Button29_Click">
                <anchor moveWithCells="1" sizeWithCells="1">
                  <from>
                    <xdr:col>10</xdr:col>
                    <xdr:colOff>1303020</xdr:colOff>
                    <xdr:row>2</xdr:row>
                    <xdr:rowOff>144780</xdr:rowOff>
                  </from>
                  <to>
                    <xdr:col>16</xdr:col>
                    <xdr:colOff>358140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_xludf.clear">
                <anchor moveWithCells="1" sizeWithCells="1">
                  <from>
                    <xdr:col>15</xdr:col>
                    <xdr:colOff>1341120</xdr:colOff>
                    <xdr:row>12</xdr:row>
                    <xdr:rowOff>152400</xdr:rowOff>
                  </from>
                  <to>
                    <xdr:col>17</xdr:col>
                    <xdr:colOff>586740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BBF8-6AE7-42AE-978D-238723093CE4}">
  <sheetPr codeName="Sheet4"/>
  <dimension ref="A1:T24"/>
  <sheetViews>
    <sheetView workbookViewId="0">
      <selection activeCell="O10" sqref="O10"/>
    </sheetView>
  </sheetViews>
  <sheetFormatPr defaultRowHeight="14.4" x14ac:dyDescent="0.3"/>
  <sheetData>
    <row r="1" spans="1:20" ht="25.8" customHeight="1" x14ac:dyDescent="0.3">
      <c r="A1" s="66" t="s">
        <v>90</v>
      </c>
      <c r="B1" s="66"/>
      <c r="C1" s="66"/>
      <c r="D1" s="66"/>
      <c r="E1" s="66"/>
      <c r="F1" s="66"/>
      <c r="G1" s="66"/>
      <c r="H1" s="66"/>
      <c r="I1" s="66"/>
    </row>
    <row r="2" spans="1:20" x14ac:dyDescent="0.3">
      <c r="A2" s="66"/>
      <c r="B2" s="66"/>
      <c r="C2" s="66"/>
      <c r="D2" s="66"/>
      <c r="E2" s="66"/>
      <c r="F2" s="66"/>
      <c r="G2" s="66"/>
      <c r="H2" s="66"/>
      <c r="I2" s="66"/>
    </row>
    <row r="3" spans="1:20" x14ac:dyDescent="0.3">
      <c r="A3" s="66"/>
      <c r="B3" s="66"/>
      <c r="C3" s="66"/>
      <c r="D3" s="66"/>
      <c r="E3" s="66"/>
      <c r="F3" s="66"/>
      <c r="G3" s="66"/>
      <c r="H3" s="66"/>
      <c r="I3" s="66"/>
    </row>
    <row r="4" spans="1:20" x14ac:dyDescent="0.3">
      <c r="A4" s="67" t="s">
        <v>91</v>
      </c>
      <c r="B4" s="67"/>
      <c r="C4" s="67"/>
      <c r="D4" s="67"/>
      <c r="E4" s="67"/>
      <c r="F4" s="67"/>
      <c r="G4" s="67"/>
      <c r="H4" s="67"/>
      <c r="I4" s="67"/>
    </row>
    <row r="5" spans="1:20" x14ac:dyDescent="0.3">
      <c r="A5" s="67" t="s">
        <v>92</v>
      </c>
      <c r="B5" s="67"/>
      <c r="C5" s="67"/>
      <c r="D5" s="67"/>
      <c r="E5" s="67"/>
      <c r="F5" s="67"/>
      <c r="G5" s="67"/>
      <c r="H5" s="67"/>
      <c r="I5" s="67"/>
    </row>
    <row r="7" spans="1:20" x14ac:dyDescent="0.3">
      <c r="A7" s="67" t="s">
        <v>93</v>
      </c>
      <c r="B7" s="67"/>
      <c r="C7" s="67"/>
      <c r="D7" s="67"/>
      <c r="E7" s="67"/>
      <c r="F7" s="67"/>
      <c r="G7" s="67"/>
      <c r="H7" s="67"/>
      <c r="I7" s="67"/>
    </row>
    <row r="8" spans="1:20" x14ac:dyDescent="0.3">
      <c r="A8" t="s">
        <v>104</v>
      </c>
      <c r="P8" s="12"/>
      <c r="T8" s="12"/>
    </row>
    <row r="9" spans="1:20" x14ac:dyDescent="0.3">
      <c r="A9" t="s">
        <v>94</v>
      </c>
      <c r="E9" t="s">
        <v>95</v>
      </c>
    </row>
    <row r="10" spans="1:20" x14ac:dyDescent="0.3">
      <c r="A10" t="s">
        <v>98</v>
      </c>
    </row>
    <row r="11" spans="1:20" x14ac:dyDescent="0.3">
      <c r="A11" t="s">
        <v>97</v>
      </c>
    </row>
    <row r="12" spans="1:20" x14ac:dyDescent="0.3">
      <c r="A12" t="s">
        <v>99</v>
      </c>
    </row>
    <row r="13" spans="1:20" x14ac:dyDescent="0.3">
      <c r="A13" t="s">
        <v>96</v>
      </c>
    </row>
    <row r="16" spans="1:20" x14ac:dyDescent="0.3">
      <c r="A16" s="12" t="s">
        <v>69</v>
      </c>
      <c r="F16" s="12" t="s">
        <v>82</v>
      </c>
      <c r="M16" s="12" t="s">
        <v>113</v>
      </c>
    </row>
    <row r="17" spans="1:13" x14ac:dyDescent="0.3">
      <c r="A17" t="s">
        <v>70</v>
      </c>
      <c r="F17" t="s">
        <v>83</v>
      </c>
      <c r="M17" t="s">
        <v>106</v>
      </c>
    </row>
    <row r="18" spans="1:13" x14ac:dyDescent="0.3">
      <c r="A18" t="s">
        <v>71</v>
      </c>
      <c r="F18" t="s">
        <v>84</v>
      </c>
      <c r="M18" t="s">
        <v>105</v>
      </c>
    </row>
    <row r="19" spans="1:13" x14ac:dyDescent="0.3">
      <c r="A19" t="s">
        <v>72</v>
      </c>
      <c r="F19" t="s">
        <v>100</v>
      </c>
      <c r="M19" t="s">
        <v>107</v>
      </c>
    </row>
    <row r="20" spans="1:13" x14ac:dyDescent="0.3">
      <c r="A20" t="s">
        <v>73</v>
      </c>
      <c r="M20" t="s">
        <v>108</v>
      </c>
    </row>
    <row r="21" spans="1:13" x14ac:dyDescent="0.3">
      <c r="A21" t="s">
        <v>74</v>
      </c>
      <c r="M21" t="s">
        <v>109</v>
      </c>
    </row>
    <row r="22" spans="1:13" x14ac:dyDescent="0.3">
      <c r="A22" t="s">
        <v>101</v>
      </c>
      <c r="M22" t="s">
        <v>110</v>
      </c>
    </row>
    <row r="23" spans="1:13" x14ac:dyDescent="0.3">
      <c r="A23" t="s">
        <v>102</v>
      </c>
      <c r="M23" t="s">
        <v>111</v>
      </c>
    </row>
    <row r="24" spans="1:13" x14ac:dyDescent="0.3">
      <c r="A24" t="s">
        <v>103</v>
      </c>
      <c r="M24" t="s">
        <v>112</v>
      </c>
    </row>
  </sheetData>
  <mergeCells count="4">
    <mergeCell ref="A1:I3"/>
    <mergeCell ref="A4:I4"/>
    <mergeCell ref="A5:I5"/>
    <mergeCell ref="A7:I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4C6F-0C3C-4504-BD1C-F219AF897ED2}">
  <sheetPr codeName="Sheet2"/>
  <dimension ref="C3:K14"/>
  <sheetViews>
    <sheetView topLeftCell="B2" zoomScale="114" workbookViewId="0">
      <selection activeCell="G18" sqref="G18"/>
    </sheetView>
  </sheetViews>
  <sheetFormatPr defaultRowHeight="14.4" x14ac:dyDescent="0.3"/>
  <cols>
    <col min="3" max="3" width="17.5546875" bestFit="1" customWidth="1"/>
    <col min="4" max="4" width="14.44140625" bestFit="1" customWidth="1"/>
    <col min="7" max="7" width="24.44140625" customWidth="1"/>
    <col min="8" max="8" width="17.5546875" bestFit="1" customWidth="1"/>
    <col min="9" max="9" width="14.44140625" bestFit="1" customWidth="1"/>
  </cols>
  <sheetData>
    <row r="3" spans="3:11" ht="15" thickBot="1" x14ac:dyDescent="0.35"/>
    <row r="4" spans="3:11" x14ac:dyDescent="0.3">
      <c r="C4" s="54" t="s">
        <v>81</v>
      </c>
      <c r="D4" s="55"/>
      <c r="E4" s="55"/>
      <c r="F4" s="55"/>
      <c r="G4" s="55"/>
      <c r="H4" s="55"/>
      <c r="I4" s="55"/>
      <c r="J4" s="55"/>
      <c r="K4" s="56"/>
    </row>
    <row r="5" spans="3:11" x14ac:dyDescent="0.3">
      <c r="C5" s="57"/>
      <c r="D5" s="58"/>
      <c r="E5" s="58"/>
      <c r="F5" s="58"/>
      <c r="G5" s="58"/>
      <c r="H5" s="58"/>
      <c r="I5" s="58"/>
      <c r="J5" s="58"/>
      <c r="K5" s="59"/>
    </row>
    <row r="6" spans="3:11" x14ac:dyDescent="0.3">
      <c r="C6" s="52">
        <f>Players!K18</f>
        <v>0</v>
      </c>
      <c r="D6" s="53" t="b">
        <f ca="1">Players!L18</f>
        <v>0</v>
      </c>
      <c r="E6" s="16"/>
      <c r="F6" s="16"/>
      <c r="G6" s="16"/>
      <c r="H6" s="53">
        <f>Players!P18</f>
        <v>0</v>
      </c>
      <c r="I6" s="53" t="b">
        <f ca="1">Players!Q18</f>
        <v>0</v>
      </c>
      <c r="J6" s="16"/>
      <c r="K6" s="23"/>
    </row>
    <row r="7" spans="3:11" x14ac:dyDescent="0.3">
      <c r="C7" s="52"/>
      <c r="D7" s="53"/>
      <c r="E7" s="16"/>
      <c r="F7" s="16"/>
      <c r="G7" s="47" t="str">
        <f ca="1">Players!O19</f>
        <v>2OT</v>
      </c>
      <c r="H7" s="53"/>
      <c r="I7" s="53"/>
      <c r="J7" s="16"/>
      <c r="K7" s="23"/>
    </row>
    <row r="8" spans="3:11" x14ac:dyDescent="0.3">
      <c r="C8" s="49" t="s">
        <v>80</v>
      </c>
      <c r="D8" s="50"/>
      <c r="E8" s="50"/>
      <c r="F8" s="50"/>
      <c r="G8" s="16"/>
      <c r="H8" s="50" t="s">
        <v>80</v>
      </c>
      <c r="I8" s="50"/>
      <c r="J8" s="50"/>
      <c r="K8" s="51"/>
    </row>
    <row r="9" spans="3:11" x14ac:dyDescent="0.3">
      <c r="C9" s="24" t="s">
        <v>0</v>
      </c>
      <c r="D9" s="22" t="s">
        <v>77</v>
      </c>
      <c r="E9" s="22" t="s">
        <v>78</v>
      </c>
      <c r="F9" s="22" t="s">
        <v>79</v>
      </c>
      <c r="G9" s="16"/>
      <c r="H9" s="22" t="s">
        <v>0</v>
      </c>
      <c r="I9" s="22" t="s">
        <v>77</v>
      </c>
      <c r="J9" s="22" t="s">
        <v>78</v>
      </c>
      <c r="K9" s="25" t="s">
        <v>79</v>
      </c>
    </row>
    <row r="10" spans="3:11" x14ac:dyDescent="0.3">
      <c r="C10" s="26">
        <f>Players!K22</f>
        <v>0</v>
      </c>
      <c r="D10" s="2">
        <f ca="1">Players!L22</f>
        <v>0</v>
      </c>
      <c r="E10" s="2" t="e">
        <f ca="1">Players!M22</f>
        <v>#DIV/0!</v>
      </c>
      <c r="F10" s="2" t="e">
        <f ca="1">Players!N22</f>
        <v>#DIV/0!</v>
      </c>
      <c r="G10" s="16"/>
      <c r="H10" s="2">
        <f>Players!P22</f>
        <v>0</v>
      </c>
      <c r="I10" s="2">
        <f ca="1">Players!Q22</f>
        <v>0</v>
      </c>
      <c r="J10" s="2" t="e">
        <f ca="1">Players!R22</f>
        <v>#DIV/0!</v>
      </c>
      <c r="K10" s="27" t="e">
        <f ca="1">Players!S22</f>
        <v>#DIV/0!</v>
      </c>
    </row>
    <row r="11" spans="3:11" x14ac:dyDescent="0.3">
      <c r="C11" s="26">
        <f>Players!K23</f>
        <v>0</v>
      </c>
      <c r="D11" s="2">
        <f ca="1">Players!L23</f>
        <v>0</v>
      </c>
      <c r="E11" s="2" t="e">
        <f ca="1">Players!M23</f>
        <v>#DIV/0!</v>
      </c>
      <c r="F11" s="2" t="e">
        <f ca="1">Players!N23</f>
        <v>#DIV/0!</v>
      </c>
      <c r="G11" s="16"/>
      <c r="H11" s="2">
        <f>Players!P23</f>
        <v>0</v>
      </c>
      <c r="I11" s="2">
        <f ca="1">Players!Q23</f>
        <v>0</v>
      </c>
      <c r="J11" s="2" t="e">
        <f ca="1">Players!R23</f>
        <v>#DIV/0!</v>
      </c>
      <c r="K11" s="27" t="e">
        <f ca="1">Players!S23</f>
        <v>#DIV/0!</v>
      </c>
    </row>
    <row r="12" spans="3:11" x14ac:dyDescent="0.3">
      <c r="C12" s="26">
        <f>Players!K24</f>
        <v>0</v>
      </c>
      <c r="D12" s="2">
        <f ca="1">Players!L24</f>
        <v>0</v>
      </c>
      <c r="E12" s="2" t="e">
        <f ca="1">Players!M24</f>
        <v>#DIV/0!</v>
      </c>
      <c r="F12" s="2" t="e">
        <f ca="1">Players!N24</f>
        <v>#DIV/0!</v>
      </c>
      <c r="G12" s="16"/>
      <c r="H12" s="2">
        <f>Players!P24</f>
        <v>0</v>
      </c>
      <c r="I12" s="2">
        <f ca="1">Players!Q24</f>
        <v>0</v>
      </c>
      <c r="J12" s="2" t="e">
        <f ca="1">Players!R24</f>
        <v>#DIV/0!</v>
      </c>
      <c r="K12" s="27" t="e">
        <f ca="1">Players!S24</f>
        <v>#DIV/0!</v>
      </c>
    </row>
    <row r="13" spans="3:11" x14ac:dyDescent="0.3">
      <c r="C13" s="26">
        <f>Players!K25</f>
        <v>0</v>
      </c>
      <c r="D13" s="2">
        <f ca="1">Players!L25</f>
        <v>0</v>
      </c>
      <c r="E13" s="2" t="e">
        <f ca="1">Players!M25</f>
        <v>#DIV/0!</v>
      </c>
      <c r="F13" s="2" t="e">
        <f ca="1">Players!N25</f>
        <v>#DIV/0!</v>
      </c>
      <c r="G13" s="16"/>
      <c r="H13" s="2">
        <f>Players!P25</f>
        <v>0</v>
      </c>
      <c r="I13" s="2">
        <f ca="1">Players!Q25</f>
        <v>0</v>
      </c>
      <c r="J13" s="2" t="e">
        <f ca="1">Players!R25</f>
        <v>#DIV/0!</v>
      </c>
      <c r="K13" s="27" t="e">
        <f ca="1">Players!S25</f>
        <v>#DIV/0!</v>
      </c>
    </row>
    <row r="14" spans="3:11" ht="15" thickBot="1" x14ac:dyDescent="0.35">
      <c r="C14" s="28">
        <f>Players!K26</f>
        <v>0</v>
      </c>
      <c r="D14" s="29">
        <f ca="1">Players!L26</f>
        <v>0</v>
      </c>
      <c r="E14" s="29" t="e">
        <f ca="1">Players!M26</f>
        <v>#DIV/0!</v>
      </c>
      <c r="F14" s="29" t="e">
        <f ca="1">Players!N26</f>
        <v>#DIV/0!</v>
      </c>
      <c r="G14" s="21"/>
      <c r="H14" s="29">
        <f>Players!P26</f>
        <v>0</v>
      </c>
      <c r="I14" s="29">
        <f ca="1">Players!Q26</f>
        <v>0</v>
      </c>
      <c r="J14" s="29" t="e">
        <f ca="1">Players!R26</f>
        <v>#DIV/0!</v>
      </c>
      <c r="K14" s="30" t="e">
        <f ca="1">Players!S26</f>
        <v>#DIV/0!</v>
      </c>
    </row>
  </sheetData>
  <mergeCells count="7">
    <mergeCell ref="C4:K5"/>
    <mergeCell ref="C6:C7"/>
    <mergeCell ref="D6:D7"/>
    <mergeCell ref="H6:H7"/>
    <mergeCell ref="I6:I7"/>
    <mergeCell ref="C8:F8"/>
    <mergeCell ref="H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teNow">
                <anchor moveWithCells="1" sizeWithCells="1">
                  <from>
                    <xdr:col>6</xdr:col>
                    <xdr:colOff>45720</xdr:colOff>
                    <xdr:row>8</xdr:row>
                    <xdr:rowOff>30480</xdr:rowOff>
                  </from>
                  <to>
                    <xdr:col>6</xdr:col>
                    <xdr:colOff>1623060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Players</vt:lpstr>
      <vt:lpstr>Info</vt:lpstr>
      <vt:lpstr>Scoreboard</vt:lpstr>
      <vt:lpstr>Players</vt:lpstr>
      <vt:lpstr>Players1</vt:lpstr>
      <vt:lpstr>Start1</vt:lpstr>
      <vt:lpstr>Start2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Stiger</dc:creator>
  <cp:lastModifiedBy>Ev</cp:lastModifiedBy>
  <dcterms:created xsi:type="dcterms:W3CDTF">2020-04-29T18:25:26Z</dcterms:created>
  <dcterms:modified xsi:type="dcterms:W3CDTF">2020-05-01T02:32:27Z</dcterms:modified>
</cp:coreProperties>
</file>